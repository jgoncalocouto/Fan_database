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ãoGonçaloCouto\PycharmProjects\fan_selector\fan_database\fan_database_new\"/>
    </mc:Choice>
  </mc:AlternateContent>
  <xr:revisionPtr revIDLastSave="0" documentId="13_ncr:1_{1F37B5B4-F6A9-4552-9DC7-267061A06B8A}" xr6:coauthVersionLast="45" xr6:coauthVersionMax="45" xr10:uidLastSave="{00000000-0000-0000-0000-000000000000}"/>
  <bookViews>
    <workbookView xWindow="2010" yWindow="-120" windowWidth="26910" windowHeight="16440" xr2:uid="{D5A937AF-D459-412B-8B5F-70C32D64C842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5" i="1" l="1"/>
  <c r="H135" i="1"/>
  <c r="I135" i="1"/>
  <c r="J135" i="1"/>
  <c r="K135" i="1" s="1"/>
  <c r="G136" i="1"/>
  <c r="H136" i="1"/>
  <c r="I136" i="1"/>
  <c r="J136" i="1"/>
  <c r="L136" i="1" s="1"/>
  <c r="G137" i="1"/>
  <c r="H137" i="1"/>
  <c r="I137" i="1"/>
  <c r="J137" i="1"/>
  <c r="K137" i="1" s="1"/>
  <c r="L137" i="1"/>
  <c r="M137" i="1"/>
  <c r="G138" i="1"/>
  <c r="H138" i="1"/>
  <c r="I138" i="1"/>
  <c r="J138" i="1"/>
  <c r="K138" i="1"/>
  <c r="L138" i="1"/>
  <c r="M138" i="1"/>
  <c r="G139" i="1"/>
  <c r="H139" i="1"/>
  <c r="I139" i="1"/>
  <c r="J139" i="1"/>
  <c r="K139" i="1"/>
  <c r="L139" i="1"/>
  <c r="M139" i="1"/>
  <c r="G140" i="1"/>
  <c r="H140" i="1"/>
  <c r="I140" i="1"/>
  <c r="J140" i="1"/>
  <c r="K140" i="1" s="1"/>
  <c r="G141" i="1"/>
  <c r="H141" i="1"/>
  <c r="I141" i="1"/>
  <c r="J141" i="1"/>
  <c r="M141" i="1" s="1"/>
  <c r="K141" i="1"/>
  <c r="G142" i="1"/>
  <c r="H142" i="1"/>
  <c r="I142" i="1"/>
  <c r="J142" i="1"/>
  <c r="K142" i="1" s="1"/>
  <c r="G143" i="1"/>
  <c r="H143" i="1"/>
  <c r="I143" i="1"/>
  <c r="J143" i="1"/>
  <c r="K143" i="1"/>
  <c r="L143" i="1"/>
  <c r="M143" i="1"/>
  <c r="G144" i="1"/>
  <c r="H144" i="1"/>
  <c r="I144" i="1"/>
  <c r="J144" i="1"/>
  <c r="K144" i="1"/>
  <c r="L144" i="1"/>
  <c r="M144" i="1"/>
  <c r="G145" i="1"/>
  <c r="H145" i="1"/>
  <c r="I145" i="1"/>
  <c r="J145" i="1"/>
  <c r="K145" i="1"/>
  <c r="L145" i="1"/>
  <c r="M145" i="1"/>
  <c r="G146" i="1"/>
  <c r="H146" i="1"/>
  <c r="I146" i="1"/>
  <c r="J146" i="1"/>
  <c r="M146" i="1" s="1"/>
  <c r="K146" i="1"/>
  <c r="L146" i="1"/>
  <c r="G147" i="1"/>
  <c r="H147" i="1"/>
  <c r="I147" i="1"/>
  <c r="J147" i="1"/>
  <c r="K147" i="1" s="1"/>
  <c r="G148" i="1"/>
  <c r="H148" i="1"/>
  <c r="I148" i="1"/>
  <c r="J148" i="1"/>
  <c r="M148" i="1" s="1"/>
  <c r="G149" i="1"/>
  <c r="H149" i="1"/>
  <c r="I149" i="1"/>
  <c r="J149" i="1"/>
  <c r="K149" i="1" s="1"/>
  <c r="L149" i="1"/>
  <c r="M149" i="1"/>
  <c r="G150" i="1"/>
  <c r="H150" i="1"/>
  <c r="I150" i="1"/>
  <c r="J150" i="1"/>
  <c r="K150" i="1"/>
  <c r="L150" i="1"/>
  <c r="M150" i="1"/>
  <c r="G151" i="1"/>
  <c r="H151" i="1"/>
  <c r="I151" i="1"/>
  <c r="J151" i="1"/>
  <c r="K151" i="1"/>
  <c r="L151" i="1"/>
  <c r="M151" i="1"/>
  <c r="G152" i="1"/>
  <c r="H152" i="1"/>
  <c r="I152" i="1"/>
  <c r="J152" i="1"/>
  <c r="M152" i="1" s="1"/>
  <c r="K152" i="1"/>
  <c r="L152" i="1"/>
  <c r="G153" i="1"/>
  <c r="H153" i="1"/>
  <c r="I153" i="1"/>
  <c r="J153" i="1"/>
  <c r="M153" i="1" s="1"/>
  <c r="K153" i="1"/>
  <c r="G154" i="1"/>
  <c r="H154" i="1"/>
  <c r="I154" i="1"/>
  <c r="J154" i="1"/>
  <c r="K154" i="1" s="1"/>
  <c r="G155" i="1"/>
  <c r="H155" i="1"/>
  <c r="I155" i="1"/>
  <c r="J155" i="1"/>
  <c r="K155" i="1"/>
  <c r="L155" i="1"/>
  <c r="M155" i="1"/>
  <c r="G156" i="1"/>
  <c r="H156" i="1"/>
  <c r="I156" i="1"/>
  <c r="J156" i="1"/>
  <c r="K156" i="1"/>
  <c r="L156" i="1"/>
  <c r="M156" i="1"/>
  <c r="G99" i="1"/>
  <c r="J99" i="1"/>
  <c r="L99" i="1" s="1"/>
  <c r="K99" i="1"/>
  <c r="G100" i="1"/>
  <c r="J100" i="1"/>
  <c r="L100" i="1" s="1"/>
  <c r="G101" i="1"/>
  <c r="J101" i="1"/>
  <c r="K101" i="1" s="1"/>
  <c r="L101" i="1"/>
  <c r="M101" i="1"/>
  <c r="G102" i="1"/>
  <c r="J102" i="1"/>
  <c r="K102" i="1"/>
  <c r="L102" i="1"/>
  <c r="M102" i="1"/>
  <c r="G103" i="1"/>
  <c r="J103" i="1"/>
  <c r="K103" i="1"/>
  <c r="L103" i="1"/>
  <c r="M103" i="1"/>
  <c r="G104" i="1"/>
  <c r="J104" i="1"/>
  <c r="K104" i="1" s="1"/>
  <c r="G105" i="1"/>
  <c r="J105" i="1"/>
  <c r="M105" i="1" s="1"/>
  <c r="K105" i="1"/>
  <c r="G106" i="1"/>
  <c r="J106" i="1"/>
  <c r="K106" i="1" s="1"/>
  <c r="G107" i="1"/>
  <c r="J107" i="1"/>
  <c r="K107" i="1" s="1"/>
  <c r="L107" i="1"/>
  <c r="M107" i="1"/>
  <c r="G108" i="1"/>
  <c r="J108" i="1"/>
  <c r="K108" i="1"/>
  <c r="L108" i="1"/>
  <c r="M108" i="1"/>
  <c r="G109" i="1"/>
  <c r="J109" i="1"/>
  <c r="L109" i="1" s="1"/>
  <c r="K109" i="1"/>
  <c r="M109" i="1"/>
  <c r="G110" i="1"/>
  <c r="H110" i="1"/>
  <c r="I110" i="1"/>
  <c r="J110" i="1"/>
  <c r="M110" i="1" s="1"/>
  <c r="K110" i="1"/>
  <c r="L110" i="1"/>
  <c r="G111" i="1"/>
  <c r="H111" i="1"/>
  <c r="I111" i="1"/>
  <c r="J111" i="1"/>
  <c r="L111" i="1" s="1"/>
  <c r="K111" i="1"/>
  <c r="G112" i="1"/>
  <c r="H112" i="1"/>
  <c r="I112" i="1"/>
  <c r="J112" i="1"/>
  <c r="L112" i="1" s="1"/>
  <c r="G113" i="1"/>
  <c r="H113" i="1"/>
  <c r="I113" i="1"/>
  <c r="J113" i="1"/>
  <c r="K113" i="1" s="1"/>
  <c r="L113" i="1"/>
  <c r="M113" i="1"/>
  <c r="G114" i="1"/>
  <c r="H114" i="1"/>
  <c r="I114" i="1"/>
  <c r="J114" i="1"/>
  <c r="K114" i="1"/>
  <c r="L114" i="1"/>
  <c r="M114" i="1"/>
  <c r="G115" i="1"/>
  <c r="H115" i="1"/>
  <c r="I115" i="1"/>
  <c r="J115" i="1"/>
  <c r="K115" i="1"/>
  <c r="L115" i="1"/>
  <c r="M115" i="1"/>
  <c r="G116" i="1"/>
  <c r="H116" i="1"/>
  <c r="I116" i="1"/>
  <c r="J116" i="1"/>
  <c r="K116" i="1" s="1"/>
  <c r="G117" i="1"/>
  <c r="H117" i="1"/>
  <c r="I117" i="1"/>
  <c r="J117" i="1"/>
  <c r="M117" i="1" s="1"/>
  <c r="K117" i="1"/>
  <c r="G118" i="1"/>
  <c r="H118" i="1"/>
  <c r="I118" i="1"/>
  <c r="J118" i="1"/>
  <c r="K118" i="1" s="1"/>
  <c r="G119" i="1"/>
  <c r="H119" i="1"/>
  <c r="I119" i="1"/>
  <c r="J119" i="1"/>
  <c r="K119" i="1" s="1"/>
  <c r="L119" i="1"/>
  <c r="M119" i="1"/>
  <c r="G120" i="1"/>
  <c r="H120" i="1"/>
  <c r="I120" i="1"/>
  <c r="J120" i="1"/>
  <c r="K120" i="1"/>
  <c r="L120" i="1"/>
  <c r="M120" i="1"/>
  <c r="G121" i="1"/>
  <c r="H121" i="1"/>
  <c r="I121" i="1"/>
  <c r="J121" i="1"/>
  <c r="L121" i="1" s="1"/>
  <c r="K121" i="1"/>
  <c r="M121" i="1"/>
  <c r="G122" i="1"/>
  <c r="H122" i="1"/>
  <c r="I122" i="1"/>
  <c r="J122" i="1"/>
  <c r="M122" i="1" s="1"/>
  <c r="K122" i="1"/>
  <c r="L122" i="1"/>
  <c r="G123" i="1"/>
  <c r="H123" i="1"/>
  <c r="I123" i="1"/>
  <c r="J123" i="1"/>
  <c r="L123" i="1" s="1"/>
  <c r="K123" i="1"/>
  <c r="G124" i="1"/>
  <c r="H124" i="1"/>
  <c r="I124" i="1"/>
  <c r="J124" i="1"/>
  <c r="L124" i="1" s="1"/>
  <c r="G125" i="1"/>
  <c r="H125" i="1"/>
  <c r="I125" i="1"/>
  <c r="J125" i="1"/>
  <c r="K125" i="1" s="1"/>
  <c r="L125" i="1"/>
  <c r="M125" i="1"/>
  <c r="G126" i="1"/>
  <c r="H126" i="1"/>
  <c r="I126" i="1"/>
  <c r="J126" i="1"/>
  <c r="K126" i="1"/>
  <c r="L126" i="1"/>
  <c r="M126" i="1"/>
  <c r="G127" i="1"/>
  <c r="H127" i="1"/>
  <c r="I127" i="1"/>
  <c r="J127" i="1"/>
  <c r="K127" i="1"/>
  <c r="L127" i="1"/>
  <c r="M127" i="1"/>
  <c r="G128" i="1"/>
  <c r="H128" i="1"/>
  <c r="I128" i="1"/>
  <c r="J128" i="1"/>
  <c r="K128" i="1" s="1"/>
  <c r="L128" i="1"/>
  <c r="G129" i="1"/>
  <c r="H129" i="1"/>
  <c r="I129" i="1"/>
  <c r="J129" i="1"/>
  <c r="M129" i="1" s="1"/>
  <c r="K129" i="1"/>
  <c r="G130" i="1"/>
  <c r="H130" i="1"/>
  <c r="I130" i="1"/>
  <c r="J130" i="1"/>
  <c r="K130" i="1" s="1"/>
  <c r="G131" i="1"/>
  <c r="H131" i="1"/>
  <c r="I131" i="1"/>
  <c r="J131" i="1"/>
  <c r="K131" i="1" s="1"/>
  <c r="L131" i="1"/>
  <c r="M131" i="1"/>
  <c r="G132" i="1"/>
  <c r="H132" i="1"/>
  <c r="I132" i="1"/>
  <c r="J132" i="1"/>
  <c r="K132" i="1"/>
  <c r="L132" i="1"/>
  <c r="M132" i="1"/>
  <c r="G133" i="1"/>
  <c r="H133" i="1"/>
  <c r="I133" i="1"/>
  <c r="J133" i="1"/>
  <c r="K133" i="1"/>
  <c r="L133" i="1"/>
  <c r="M133" i="1"/>
  <c r="G134" i="1"/>
  <c r="H134" i="1"/>
  <c r="I134" i="1"/>
  <c r="J134" i="1"/>
  <c r="M134" i="1" s="1"/>
  <c r="K134" i="1"/>
  <c r="L134" i="1"/>
  <c r="G82" i="1"/>
  <c r="J82" i="1"/>
  <c r="L82" i="1" s="1"/>
  <c r="K82" i="1"/>
  <c r="G83" i="1"/>
  <c r="J83" i="1"/>
  <c r="K83" i="1" s="1"/>
  <c r="G84" i="1"/>
  <c r="J84" i="1"/>
  <c r="K84" i="1" s="1"/>
  <c r="L84" i="1"/>
  <c r="M84" i="1"/>
  <c r="G85" i="1"/>
  <c r="J85" i="1"/>
  <c r="K85" i="1"/>
  <c r="L85" i="1"/>
  <c r="M85" i="1"/>
  <c r="G86" i="1"/>
  <c r="J86" i="1"/>
  <c r="K86" i="1"/>
  <c r="L86" i="1"/>
  <c r="M86" i="1"/>
  <c r="G87" i="1"/>
  <c r="J87" i="1"/>
  <c r="M87" i="1" s="1"/>
  <c r="K87" i="1"/>
  <c r="L87" i="1"/>
  <c r="G88" i="1"/>
  <c r="J88" i="1"/>
  <c r="L88" i="1" s="1"/>
  <c r="K88" i="1"/>
  <c r="G89" i="1"/>
  <c r="J89" i="1"/>
  <c r="K89" i="1" s="1"/>
  <c r="G90" i="1"/>
  <c r="J90" i="1"/>
  <c r="K90" i="1"/>
  <c r="L90" i="1"/>
  <c r="M90" i="1"/>
  <c r="G91" i="1"/>
  <c r="J91" i="1"/>
  <c r="K91" i="1"/>
  <c r="L91" i="1"/>
  <c r="M91" i="1"/>
  <c r="G92" i="1"/>
  <c r="J92" i="1"/>
  <c r="K92" i="1"/>
  <c r="L92" i="1"/>
  <c r="M92" i="1"/>
  <c r="G93" i="1"/>
  <c r="J93" i="1"/>
  <c r="M93" i="1" s="1"/>
  <c r="K93" i="1"/>
  <c r="L93" i="1"/>
  <c r="G94" i="1"/>
  <c r="J94" i="1"/>
  <c r="L94" i="1" s="1"/>
  <c r="K94" i="1"/>
  <c r="G95" i="1"/>
  <c r="J95" i="1"/>
  <c r="K95" i="1" s="1"/>
  <c r="G96" i="1"/>
  <c r="J96" i="1"/>
  <c r="K96" i="1" s="1"/>
  <c r="L96" i="1"/>
  <c r="M96" i="1"/>
  <c r="G97" i="1"/>
  <c r="J97" i="1"/>
  <c r="K97" i="1"/>
  <c r="L97" i="1"/>
  <c r="M97" i="1"/>
  <c r="G98" i="1"/>
  <c r="J98" i="1"/>
  <c r="K98" i="1" s="1"/>
  <c r="L98" i="1"/>
  <c r="M98" i="1"/>
  <c r="D109" i="1" a="1"/>
  <c r="D102" i="1" a="1"/>
  <c r="D103" i="1" a="1"/>
  <c r="D87" i="1" a="1"/>
  <c r="D94" i="1" a="1"/>
  <c r="D97" i="1" a="1"/>
  <c r="D86" i="1" a="1"/>
  <c r="D92" i="1" a="1"/>
  <c r="D98" i="1" a="1"/>
  <c r="D104" i="1" a="1"/>
  <c r="D93" i="1" a="1"/>
  <c r="D99" i="1" a="1"/>
  <c r="D105" i="1" a="1"/>
  <c r="D88" i="1" a="1"/>
  <c r="D91" i="1" a="1"/>
  <c r="D100" i="1" a="1"/>
  <c r="D106" i="1" a="1"/>
  <c r="D83" i="1" a="1"/>
  <c r="D89" i="1" a="1"/>
  <c r="D95" i="1" a="1"/>
  <c r="D101" i="1" a="1"/>
  <c r="D107" i="1" a="1"/>
  <c r="D84" i="1" a="1"/>
  <c r="D90" i="1" a="1"/>
  <c r="D96" i="1" a="1"/>
  <c r="D108" i="1" a="1"/>
  <c r="D85" i="1" a="1"/>
  <c r="D82" i="1" a="1"/>
  <c r="D85" i="1" l="1"/>
  <c r="D108" i="1"/>
  <c r="D96" i="1"/>
  <c r="D90" i="1"/>
  <c r="D84" i="1"/>
  <c r="D107" i="1"/>
  <c r="D101" i="1"/>
  <c r="D95" i="1"/>
  <c r="D89" i="1"/>
  <c r="D83" i="1"/>
  <c r="D106" i="1"/>
  <c r="D100" i="1"/>
  <c r="D91" i="1"/>
  <c r="D88" i="1"/>
  <c r="D105" i="1"/>
  <c r="D99" i="1"/>
  <c r="D93" i="1"/>
  <c r="D104" i="1"/>
  <c r="D98" i="1"/>
  <c r="D92" i="1"/>
  <c r="D86" i="1"/>
  <c r="D97" i="1"/>
  <c r="D94" i="1"/>
  <c r="D87" i="1"/>
  <c r="D103" i="1"/>
  <c r="D102" i="1"/>
  <c r="D109" i="1"/>
  <c r="D82" i="1"/>
  <c r="M136" i="1"/>
  <c r="L148" i="1"/>
  <c r="L153" i="1"/>
  <c r="K148" i="1"/>
  <c r="L141" i="1"/>
  <c r="K136" i="1"/>
  <c r="M154" i="1"/>
  <c r="M142" i="1"/>
  <c r="L154" i="1"/>
  <c r="M147" i="1"/>
  <c r="L142" i="1"/>
  <c r="M135" i="1"/>
  <c r="L147" i="1"/>
  <c r="M140" i="1"/>
  <c r="L135" i="1"/>
  <c r="L140" i="1"/>
  <c r="L129" i="1"/>
  <c r="K124" i="1"/>
  <c r="L117" i="1"/>
  <c r="K112" i="1"/>
  <c r="L105" i="1"/>
  <c r="K100" i="1"/>
  <c r="M130" i="1"/>
  <c r="M118" i="1"/>
  <c r="M106" i="1"/>
  <c r="L130" i="1"/>
  <c r="M123" i="1"/>
  <c r="L118" i="1"/>
  <c r="M111" i="1"/>
  <c r="L106" i="1"/>
  <c r="M99" i="1"/>
  <c r="M128" i="1"/>
  <c r="M116" i="1"/>
  <c r="M104" i="1"/>
  <c r="L116" i="1"/>
  <c r="L104" i="1"/>
  <c r="M124" i="1"/>
  <c r="M112" i="1"/>
  <c r="M100" i="1"/>
  <c r="M95" i="1"/>
  <c r="M83" i="1"/>
  <c r="L95" i="1"/>
  <c r="M88" i="1"/>
  <c r="L83" i="1"/>
  <c r="M94" i="1"/>
  <c r="L89" i="1"/>
  <c r="M82" i="1"/>
  <c r="M89" i="1"/>
  <c r="D145" i="1" a="1"/>
  <c r="D135" i="1" a="1"/>
  <c r="D142" i="1" a="1"/>
  <c r="D154" i="1" a="1"/>
  <c r="D137" i="1" a="1"/>
  <c r="D138" i="1" a="1"/>
  <c r="D150" i="1" a="1"/>
  <c r="D147" i="1" a="1"/>
  <c r="D136" i="1" a="1"/>
  <c r="D148" i="1" a="1"/>
  <c r="D143" i="1" a="1"/>
  <c r="D155" i="1" a="1"/>
  <c r="D144" i="1" a="1"/>
  <c r="D156" i="1" a="1"/>
  <c r="D141" i="1" a="1"/>
  <c r="D149" i="1" a="1"/>
  <c r="D153" i="1" a="1"/>
  <c r="D133" i="1" a="1"/>
  <c r="D139" i="1" a="1"/>
  <c r="D151" i="1" a="1"/>
  <c r="D134" i="1" a="1"/>
  <c r="D140" i="1" a="1"/>
  <c r="D146" i="1" a="1"/>
  <c r="D152" i="1" a="1"/>
  <c r="D132" i="1" a="1"/>
  <c r="D114" i="1" a="1"/>
  <c r="D120" i="1" a="1"/>
  <c r="D126" i="1" a="1"/>
  <c r="D123" i="1" a="1"/>
  <c r="D112" i="1" a="1"/>
  <c r="D124" i="1" a="1"/>
  <c r="D113" i="1" a="1"/>
  <c r="D131" i="1" a="1"/>
  <c r="D115" i="1" a="1"/>
  <c r="D121" i="1" a="1"/>
  <c r="D127" i="1" a="1"/>
  <c r="D111" i="1" a="1"/>
  <c r="D129" i="1" a="1"/>
  <c r="D118" i="1" a="1"/>
  <c r="D119" i="1" a="1"/>
  <c r="D116" i="1" a="1"/>
  <c r="D122" i="1" a="1"/>
  <c r="D128" i="1" a="1"/>
  <c r="D117" i="1" a="1"/>
  <c r="D130" i="1" a="1"/>
  <c r="D125" i="1" a="1"/>
  <c r="H100" i="1" l="1"/>
  <c r="I100" i="1"/>
  <c r="H94" i="1"/>
  <c r="I94" i="1"/>
  <c r="I106" i="1"/>
  <c r="H106" i="1"/>
  <c r="H97" i="1"/>
  <c r="I97" i="1"/>
  <c r="I92" i="1"/>
  <c r="H92" i="1"/>
  <c r="H95" i="1"/>
  <c r="I95" i="1"/>
  <c r="H101" i="1"/>
  <c r="I101" i="1"/>
  <c r="H104" i="1"/>
  <c r="I104" i="1"/>
  <c r="H107" i="1"/>
  <c r="I107" i="1"/>
  <c r="H98" i="1"/>
  <c r="I98" i="1"/>
  <c r="I93" i="1"/>
  <c r="H93" i="1"/>
  <c r="H103" i="1"/>
  <c r="I103" i="1"/>
  <c r="H109" i="1"/>
  <c r="I109" i="1"/>
  <c r="I105" i="1"/>
  <c r="H105" i="1"/>
  <c r="H96" i="1"/>
  <c r="I96" i="1"/>
  <c r="H99" i="1"/>
  <c r="I99" i="1"/>
  <c r="I102" i="1"/>
  <c r="H102" i="1"/>
  <c r="H108" i="1"/>
  <c r="I108" i="1"/>
  <c r="H82" i="1"/>
  <c r="I82" i="1"/>
  <c r="I91" i="1"/>
  <c r="H91" i="1"/>
  <c r="H87" i="1"/>
  <c r="I87" i="1"/>
  <c r="I85" i="1"/>
  <c r="H85" i="1"/>
  <c r="H88" i="1"/>
  <c r="I88" i="1"/>
  <c r="H86" i="1"/>
  <c r="I86" i="1"/>
  <c r="H83" i="1"/>
  <c r="I83" i="1"/>
  <c r="H89" i="1"/>
  <c r="I89" i="1"/>
  <c r="I84" i="1"/>
  <c r="H84" i="1"/>
  <c r="I90" i="1"/>
  <c r="H90" i="1"/>
  <c r="D152" i="1"/>
  <c r="D146" i="1"/>
  <c r="D140" i="1"/>
  <c r="D134" i="1"/>
  <c r="D151" i="1"/>
  <c r="D139" i="1"/>
  <c r="D133" i="1"/>
  <c r="D153" i="1"/>
  <c r="D149" i="1"/>
  <c r="D141" i="1"/>
  <c r="D156" i="1"/>
  <c r="D144" i="1"/>
  <c r="D155" i="1"/>
  <c r="D143" i="1"/>
  <c r="D148" i="1"/>
  <c r="D136" i="1"/>
  <c r="D147" i="1"/>
  <c r="D150" i="1"/>
  <c r="D138" i="1"/>
  <c r="D137" i="1"/>
  <c r="D154" i="1"/>
  <c r="D142" i="1"/>
  <c r="D135" i="1"/>
  <c r="D145" i="1"/>
  <c r="D132" i="1"/>
  <c r="D125" i="1"/>
  <c r="D130" i="1"/>
  <c r="D117" i="1"/>
  <c r="D128" i="1"/>
  <c r="D122" i="1"/>
  <c r="D116" i="1"/>
  <c r="D119" i="1"/>
  <c r="D118" i="1"/>
  <c r="D129" i="1"/>
  <c r="D111" i="1"/>
  <c r="D127" i="1"/>
  <c r="D121" i="1"/>
  <c r="D115" i="1"/>
  <c r="D131" i="1"/>
  <c r="D113" i="1"/>
  <c r="D124" i="1"/>
  <c r="D112" i="1"/>
  <c r="D123" i="1"/>
  <c r="D126" i="1"/>
  <c r="D120" i="1"/>
  <c r="D114" i="1"/>
  <c r="D2" i="1" l="1" a="1"/>
  <c r="D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2" i="1"/>
  <c r="I23" i="1"/>
  <c r="I50" i="1"/>
  <c r="H23" i="1"/>
  <c r="H50" i="1"/>
  <c r="I2" i="1" l="1"/>
  <c r="H2" i="1"/>
  <c r="D51" i="1" a="1"/>
  <c r="D62" i="1" a="1"/>
  <c r="D53" i="1" a="1"/>
  <c r="D47" i="1" a="1"/>
  <c r="D32" i="1" a="1"/>
  <c r="D21" i="1" a="1"/>
  <c r="D5" i="1" a="1"/>
  <c r="D57" i="1" a="1"/>
  <c r="D52" i="1" a="1"/>
  <c r="D72" i="1" a="1"/>
  <c r="D31" i="1" a="1"/>
  <c r="D38" i="1" a="1"/>
  <c r="D7" i="1" a="1"/>
  <c r="D18" i="1" a="1"/>
  <c r="D13" i="1" a="1"/>
  <c r="D63" i="1" a="1"/>
  <c r="D64" i="1" a="1"/>
  <c r="D55" i="1" a="1"/>
  <c r="D33" i="1" a="1"/>
  <c r="D45" i="1" a="1"/>
  <c r="D10" i="1" a="1"/>
  <c r="D19" i="1" a="1"/>
  <c r="D4" i="1" a="1"/>
  <c r="D16" i="1" a="1"/>
  <c r="D81" i="1" a="1"/>
  <c r="D25" i="1" a="1"/>
  <c r="D11" i="1" a="1"/>
  <c r="D29" i="1" a="1"/>
  <c r="D41" i="1" a="1"/>
  <c r="D69" i="1" a="1"/>
  <c r="D70" i="1" a="1"/>
  <c r="D56" i="1" a="1"/>
  <c r="D40" i="1" a="1"/>
  <c r="D26" i="1" a="1"/>
  <c r="D20" i="1" a="1"/>
  <c r="D71" i="1" a="1"/>
  <c r="D27" i="1" a="1"/>
  <c r="D30" i="1" a="1"/>
  <c r="D61" i="1" a="1"/>
  <c r="D75" i="1" a="1"/>
  <c r="D76" i="1" a="1"/>
  <c r="D60" i="1" a="1"/>
  <c r="D35" i="1" a="1"/>
  <c r="D44" i="1" a="1"/>
  <c r="D6" i="1" a="1"/>
  <c r="D80" i="1" a="1"/>
  <c r="D22" i="1" a="1"/>
  <c r="D74" i="1" a="1"/>
  <c r="D15" i="1" a="1"/>
  <c r="D78" i="1" a="1"/>
  <c r="D54" i="1" a="1"/>
  <c r="D79" i="1" a="1"/>
  <c r="D37" i="1" a="1"/>
  <c r="D34" i="1" a="1"/>
  <c r="D8" i="1" a="1"/>
  <c r="D73" i="1" a="1"/>
  <c r="D43" i="1" a="1"/>
  <c r="D49" i="1" a="1"/>
  <c r="D12" i="1" a="1"/>
  <c r="D48" i="1" a="1"/>
  <c r="D58" i="1" a="1"/>
  <c r="D24" i="1" a="1"/>
  <c r="D28" i="1" a="1"/>
  <c r="D17" i="1" a="1"/>
  <c r="D68" i="1" a="1"/>
  <c r="D65" i="1" a="1"/>
  <c r="D77" i="1" a="1"/>
  <c r="D59" i="1" a="1"/>
  <c r="D36" i="1" a="1"/>
  <c r="D39" i="1" a="1"/>
  <c r="D3" i="1" a="1"/>
  <c r="D66" i="1" a="1"/>
  <c r="D67" i="1" a="1"/>
  <c r="D42" i="1" a="1"/>
  <c r="D46" i="1" a="1"/>
  <c r="D9" i="1" a="1"/>
  <c r="D14" i="1" a="1"/>
  <c r="D14" i="1" l="1"/>
  <c r="D9" i="1"/>
  <c r="D46" i="1"/>
  <c r="D42" i="1"/>
  <c r="D67" i="1"/>
  <c r="D66" i="1"/>
  <c r="D3" i="1"/>
  <c r="D39" i="1"/>
  <c r="D36" i="1"/>
  <c r="D59" i="1"/>
  <c r="D77" i="1"/>
  <c r="D65" i="1"/>
  <c r="D68" i="1"/>
  <c r="D17" i="1"/>
  <c r="D28" i="1"/>
  <c r="D24" i="1"/>
  <c r="D58" i="1"/>
  <c r="D48" i="1"/>
  <c r="D12" i="1"/>
  <c r="D49" i="1"/>
  <c r="D43" i="1"/>
  <c r="D73" i="1"/>
  <c r="D8" i="1"/>
  <c r="D34" i="1"/>
  <c r="D37" i="1"/>
  <c r="D79" i="1"/>
  <c r="D54" i="1"/>
  <c r="D78" i="1"/>
  <c r="D15" i="1"/>
  <c r="D74" i="1"/>
  <c r="D22" i="1"/>
  <c r="D80" i="1"/>
  <c r="D6" i="1"/>
  <c r="D44" i="1"/>
  <c r="D35" i="1"/>
  <c r="D60" i="1"/>
  <c r="D76" i="1"/>
  <c r="D75" i="1"/>
  <c r="D61" i="1"/>
  <c r="D30" i="1"/>
  <c r="D27" i="1"/>
  <c r="D71" i="1"/>
  <c r="D20" i="1"/>
  <c r="D26" i="1"/>
  <c r="D40" i="1"/>
  <c r="D56" i="1"/>
  <c r="D70" i="1"/>
  <c r="D69" i="1"/>
  <c r="D41" i="1"/>
  <c r="D29" i="1"/>
  <c r="D11" i="1"/>
  <c r="D25" i="1"/>
  <c r="D81" i="1"/>
  <c r="D16" i="1"/>
  <c r="D4" i="1"/>
  <c r="D19" i="1"/>
  <c r="D10" i="1"/>
  <c r="D45" i="1"/>
  <c r="D33" i="1"/>
  <c r="D55" i="1"/>
  <c r="D64" i="1"/>
  <c r="D63" i="1"/>
  <c r="D13" i="1"/>
  <c r="D18" i="1"/>
  <c r="D7" i="1"/>
  <c r="D38" i="1"/>
  <c r="D31" i="1"/>
  <c r="D72" i="1"/>
  <c r="D52" i="1"/>
  <c r="D57" i="1"/>
  <c r="D5" i="1"/>
  <c r="D21" i="1"/>
  <c r="D32" i="1"/>
  <c r="D47" i="1"/>
  <c r="D53" i="1"/>
  <c r="D62" i="1"/>
  <c r="D51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2" i="1"/>
  <c r="R3" i="1" a="1"/>
  <c r="S3" i="1" s="1"/>
  <c r="H21" i="1" l="1"/>
  <c r="I21" i="1"/>
  <c r="H60" i="1"/>
  <c r="I60" i="1"/>
  <c r="H5" i="1"/>
  <c r="I5" i="1"/>
  <c r="H70" i="1"/>
  <c r="I70" i="1"/>
  <c r="I73" i="1"/>
  <c r="H73" i="1"/>
  <c r="I43" i="1"/>
  <c r="H43" i="1"/>
  <c r="H39" i="1"/>
  <c r="I39" i="1"/>
  <c r="H4" i="1"/>
  <c r="I4" i="1"/>
  <c r="I38" i="1"/>
  <c r="H38" i="1"/>
  <c r="I66" i="1"/>
  <c r="H66" i="1"/>
  <c r="I55" i="1"/>
  <c r="H55" i="1"/>
  <c r="H34" i="1"/>
  <c r="I34" i="1"/>
  <c r="H35" i="1"/>
  <c r="I35" i="1"/>
  <c r="I45" i="1"/>
  <c r="H45" i="1"/>
  <c r="H59" i="1"/>
  <c r="I59" i="1"/>
  <c r="H52" i="1"/>
  <c r="I52" i="1"/>
  <c r="H40" i="1"/>
  <c r="I40" i="1"/>
  <c r="H72" i="1"/>
  <c r="I72" i="1"/>
  <c r="H49" i="1"/>
  <c r="I49" i="1"/>
  <c r="I22" i="1"/>
  <c r="H22" i="1"/>
  <c r="H48" i="1"/>
  <c r="I48" i="1"/>
  <c r="H27" i="1"/>
  <c r="I27" i="1"/>
  <c r="H62" i="1"/>
  <c r="I62" i="1"/>
  <c r="H18" i="1"/>
  <c r="I18" i="1"/>
  <c r="I25" i="1"/>
  <c r="H25" i="1"/>
  <c r="I30" i="1"/>
  <c r="H30" i="1"/>
  <c r="H78" i="1"/>
  <c r="I78" i="1"/>
  <c r="H24" i="1"/>
  <c r="I24" i="1"/>
  <c r="H42" i="1"/>
  <c r="I42" i="1"/>
  <c r="H77" i="1"/>
  <c r="I77" i="1"/>
  <c r="I57" i="1"/>
  <c r="H57" i="1"/>
  <c r="I6" i="1"/>
  <c r="H6" i="1"/>
  <c r="I80" i="1"/>
  <c r="H80" i="1"/>
  <c r="I31" i="1"/>
  <c r="H31" i="1"/>
  <c r="I20" i="1"/>
  <c r="H20" i="1"/>
  <c r="H74" i="1"/>
  <c r="I74" i="1"/>
  <c r="H7" i="1"/>
  <c r="I7" i="1"/>
  <c r="I58" i="1"/>
  <c r="H58" i="1"/>
  <c r="H53" i="1"/>
  <c r="I53" i="1"/>
  <c r="H13" i="1"/>
  <c r="I13" i="1"/>
  <c r="H11" i="1"/>
  <c r="I11" i="1"/>
  <c r="I61" i="1"/>
  <c r="H61" i="1"/>
  <c r="I54" i="1"/>
  <c r="H54" i="1"/>
  <c r="H28" i="1"/>
  <c r="I28" i="1"/>
  <c r="I46" i="1"/>
  <c r="H46" i="1"/>
  <c r="I69" i="1"/>
  <c r="H69" i="1"/>
  <c r="I8" i="1"/>
  <c r="H8" i="1"/>
  <c r="I44" i="1"/>
  <c r="H44" i="1"/>
  <c r="I10" i="1"/>
  <c r="H10" i="1"/>
  <c r="I19" i="1"/>
  <c r="H19" i="1"/>
  <c r="H3" i="1"/>
  <c r="I3" i="1"/>
  <c r="H71" i="1"/>
  <c r="I71" i="1"/>
  <c r="H51" i="1"/>
  <c r="I51" i="1"/>
  <c r="H81" i="1"/>
  <c r="I81" i="1"/>
  <c r="I15" i="1"/>
  <c r="H15" i="1"/>
  <c r="H47" i="1"/>
  <c r="I47" i="1"/>
  <c r="H63" i="1"/>
  <c r="I63" i="1"/>
  <c r="I29" i="1"/>
  <c r="H29" i="1"/>
  <c r="H75" i="1"/>
  <c r="I75" i="1"/>
  <c r="I79" i="1"/>
  <c r="H79" i="1"/>
  <c r="H17" i="1"/>
  <c r="I17" i="1"/>
  <c r="I9" i="1"/>
  <c r="H9" i="1"/>
  <c r="H65" i="1"/>
  <c r="I65" i="1"/>
  <c r="H33" i="1"/>
  <c r="I33" i="1"/>
  <c r="I56" i="1"/>
  <c r="H56" i="1"/>
  <c r="H36" i="1"/>
  <c r="I36" i="1"/>
  <c r="I26" i="1"/>
  <c r="H26" i="1"/>
  <c r="H12" i="1"/>
  <c r="I12" i="1"/>
  <c r="I16" i="1"/>
  <c r="H16" i="1"/>
  <c r="I67" i="1"/>
  <c r="H67" i="1"/>
  <c r="H32" i="1"/>
  <c r="I32" i="1"/>
  <c r="H64" i="1"/>
  <c r="I64" i="1"/>
  <c r="H41" i="1"/>
  <c r="I41" i="1"/>
  <c r="H76" i="1"/>
  <c r="I76" i="1"/>
  <c r="H37" i="1"/>
  <c r="I37" i="1"/>
  <c r="I68" i="1"/>
  <c r="H68" i="1"/>
  <c r="H14" i="1"/>
  <c r="I14" i="1"/>
  <c r="R3" i="1"/>
  <c r="F14" i="1" l="1"/>
  <c r="F26" i="1"/>
  <c r="F38" i="1"/>
  <c r="F50" i="1"/>
  <c r="F62" i="1"/>
  <c r="F74" i="1"/>
  <c r="F41" i="1"/>
  <c r="F77" i="1"/>
  <c r="F42" i="1"/>
  <c r="F78" i="1"/>
  <c r="F43" i="1"/>
  <c r="F55" i="1"/>
  <c r="F79" i="1"/>
  <c r="F20" i="1"/>
  <c r="F68" i="1"/>
  <c r="F45" i="1"/>
  <c r="F81" i="1"/>
  <c r="F22" i="1"/>
  <c r="F46" i="1"/>
  <c r="F23" i="1"/>
  <c r="F71" i="1"/>
  <c r="F36" i="1"/>
  <c r="F60" i="1"/>
  <c r="F37" i="1"/>
  <c r="F73" i="1"/>
  <c r="F3" i="1"/>
  <c r="F15" i="1"/>
  <c r="F27" i="1"/>
  <c r="F39" i="1"/>
  <c r="F51" i="1"/>
  <c r="F63" i="1"/>
  <c r="F75" i="1"/>
  <c r="F53" i="1"/>
  <c r="F18" i="1"/>
  <c r="F54" i="1"/>
  <c r="F31" i="1"/>
  <c r="F67" i="1"/>
  <c r="F44" i="1"/>
  <c r="F80" i="1"/>
  <c r="F33" i="1"/>
  <c r="F69" i="1"/>
  <c r="F10" i="1"/>
  <c r="F2" i="1"/>
  <c r="F59" i="1"/>
  <c r="F24" i="1"/>
  <c r="F25" i="1"/>
  <c r="F4" i="1"/>
  <c r="F16" i="1"/>
  <c r="F28" i="1"/>
  <c r="F40" i="1"/>
  <c r="F52" i="1"/>
  <c r="F64" i="1"/>
  <c r="F76" i="1"/>
  <c r="F17" i="1"/>
  <c r="F29" i="1"/>
  <c r="F65" i="1"/>
  <c r="F30" i="1"/>
  <c r="F66" i="1"/>
  <c r="F19" i="1"/>
  <c r="F32" i="1"/>
  <c r="F56" i="1"/>
  <c r="F21" i="1"/>
  <c r="F57" i="1"/>
  <c r="F34" i="1"/>
  <c r="F70" i="1"/>
  <c r="F47" i="1"/>
  <c r="F5" i="1"/>
  <c r="F6" i="1"/>
  <c r="F7" i="1"/>
  <c r="F8" i="1"/>
  <c r="F58" i="1"/>
  <c r="F35" i="1"/>
  <c r="F48" i="1"/>
  <c r="F72" i="1"/>
  <c r="F49" i="1"/>
  <c r="F9" i="1"/>
  <c r="F61" i="1"/>
  <c r="F11" i="1"/>
  <c r="F12" i="1"/>
  <c r="F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<sst xmlns="http://schemas.openxmlformats.org/spreadsheetml/2006/main" count="249" uniqueCount="18">
  <si>
    <t>Model</t>
  </si>
  <si>
    <t>Flowrate - [m^3/h]</t>
  </si>
  <si>
    <t>PWM - [%]</t>
  </si>
  <si>
    <t>Sound Level - [db-A]</t>
  </si>
  <si>
    <t>9GA0824P1S61</t>
  </si>
  <si>
    <t>Rotational Speed - [rpm]</t>
  </si>
  <si>
    <t>m</t>
  </si>
  <si>
    <t>b</t>
  </si>
  <si>
    <t>F</t>
  </si>
  <si>
    <t>H</t>
  </si>
  <si>
    <t>D</t>
  </si>
  <si>
    <t>Static Pressure - [Pa]</t>
  </si>
  <si>
    <t>P_sound</t>
  </si>
  <si>
    <t>C_F</t>
  </si>
  <si>
    <t>C_P</t>
  </si>
  <si>
    <t>C_H</t>
  </si>
  <si>
    <t>C_Psound</t>
  </si>
  <si>
    <t>9GV0824P1G03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</si>
</sst>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9GA0824P1S61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Sheet1!$G$2:$G$81</c:f>
              <c:numCache>
                <c:formatCode>General</c:formatCode>
                <c:ptCount val="80"/>
                <c:pt idx="0">
                  <c:v>0.12226032333689105</c:v>
                </c:pt>
                <c:pt idx="1">
                  <c:v>0.40691271212651742</c:v>
                </c:pt>
                <c:pt idx="2">
                  <c:v>0.72655174788893107</c:v>
                </c:pt>
                <c:pt idx="3">
                  <c:v>1.084457428777831</c:v>
                </c:pt>
                <c:pt idx="4">
                  <c:v>1.3914266677504668</c:v>
                </c:pt>
                <c:pt idx="5">
                  <c:v>1.5821810701793038</c:v>
                </c:pt>
                <c:pt idx="6">
                  <c:v>1.8760946302264327</c:v>
                </c:pt>
                <c:pt idx="7">
                  <c:v>2.1169493966107864</c:v>
                </c:pt>
                <c:pt idx="8">
                  <c:v>2.2540018684839662</c:v>
                </c:pt>
                <c:pt idx="9">
                  <c:v>2.4459139173199906</c:v>
                </c:pt>
                <c:pt idx="10">
                  <c:v>2.5717758072570223</c:v>
                </c:pt>
                <c:pt idx="11">
                  <c:v>2.7515325688175745</c:v>
                </c:pt>
                <c:pt idx="12">
                  <c:v>2.955342650171918</c:v>
                </c:pt>
                <c:pt idx="13">
                  <c:v>3.2650773777839475</c:v>
                </c:pt>
                <c:pt idx="14">
                  <c:v>3.5490866296806916</c:v>
                </c:pt>
                <c:pt idx="15">
                  <c:v>3.7349531917236245</c:v>
                </c:pt>
                <c:pt idx="16">
                  <c:v>3.960244045300231</c:v>
                </c:pt>
                <c:pt idx="17">
                  <c:v>4.2508776071936607</c:v>
                </c:pt>
                <c:pt idx="18">
                  <c:v>4.4669072895127648</c:v>
                </c:pt>
                <c:pt idx="19">
                  <c:v>4.6557322812629556</c:v>
                </c:pt>
                <c:pt idx="20">
                  <c:v>4.7489228170415743</c:v>
                </c:pt>
                <c:pt idx="21">
                  <c:v>4.3833524424593907E-2</c:v>
                </c:pt>
                <c:pt idx="22">
                  <c:v>0.20574491607907475</c:v>
                </c:pt>
                <c:pt idx="23">
                  <c:v>0.36768626913097502</c:v>
                </c:pt>
                <c:pt idx="24">
                  <c:v>0.52782993833771075</c:v>
                </c:pt>
                <c:pt idx="25">
                  <c:v>0.70562087062447787</c:v>
                </c:pt>
                <c:pt idx="26">
                  <c:v>0.88338184151382548</c:v>
                </c:pt>
                <c:pt idx="27">
                  <c:v>1.0435854335154002</c:v>
                </c:pt>
                <c:pt idx="28">
                  <c:v>1.1843740399891982</c:v>
                </c:pt>
                <c:pt idx="29">
                  <c:v>1.367438178221781</c:v>
                </c:pt>
                <c:pt idx="30">
                  <c:v>1.5223685642775397</c:v>
                </c:pt>
                <c:pt idx="31">
                  <c:v>1.6983917741165622</c:v>
                </c:pt>
                <c:pt idx="32">
                  <c:v>1.8744449453530032</c:v>
                </c:pt>
                <c:pt idx="33">
                  <c:v>2.0469626716939548</c:v>
                </c:pt>
                <c:pt idx="34">
                  <c:v>2.2124394696413452</c:v>
                </c:pt>
                <c:pt idx="35">
                  <c:v>2.3724932546558226</c:v>
                </c:pt>
                <c:pt idx="36">
                  <c:v>2.5504040325322674</c:v>
                </c:pt>
                <c:pt idx="37">
                  <c:v>2.6542202745905161</c:v>
                </c:pt>
                <c:pt idx="38">
                  <c:v>2.846033140869566</c:v>
                </c:pt>
                <c:pt idx="39">
                  <c:v>3.1839977037604883</c:v>
                </c:pt>
                <c:pt idx="40">
                  <c:v>3.5219622666514105</c:v>
                </c:pt>
                <c:pt idx="41">
                  <c:v>3.8599567909397527</c:v>
                </c:pt>
                <c:pt idx="42">
                  <c:v>4.0381372213929714</c:v>
                </c:pt>
                <c:pt idx="43">
                  <c:v>4.2120631334126344</c:v>
                </c:pt>
                <c:pt idx="44">
                  <c:v>4.4070818692155616</c:v>
                </c:pt>
                <c:pt idx="45">
                  <c:v>4.5398108597835396</c:v>
                </c:pt>
                <c:pt idx="46">
                  <c:v>4.6544132049127747</c:v>
                </c:pt>
                <c:pt idx="47">
                  <c:v>4.812309769313055</c:v>
                </c:pt>
                <c:pt idx="48">
                  <c:v>2.892365069360647E-2</c:v>
                </c:pt>
                <c:pt idx="49">
                  <c:v>0.24921992336334378</c:v>
                </c:pt>
                <c:pt idx="50">
                  <c:v>0.34733769587156721</c:v>
                </c:pt>
                <c:pt idx="51">
                  <c:v>0.46953572584448799</c:v>
                </c:pt>
                <c:pt idx="52">
                  <c:v>0.57970339199076348</c:v>
                </c:pt>
                <c:pt idx="53">
                  <c:v>0.68985152832563224</c:v>
                </c:pt>
                <c:pt idx="54">
                  <c:v>0.91016733080677659</c:v>
                </c:pt>
                <c:pt idx="55">
                  <c:v>0.9927784330579279</c:v>
                </c:pt>
                <c:pt idx="56">
                  <c:v>1.2130942355390721</c:v>
                </c:pt>
                <c:pt idx="57">
                  <c:v>1.4334100380202162</c:v>
                </c:pt>
                <c:pt idx="58">
                  <c:v>1.6537258405013606</c:v>
                </c:pt>
                <c:pt idx="59">
                  <c:v>1.7822319995587073</c:v>
                </c:pt>
                <c:pt idx="60">
                  <c:v>2.0117463432124976</c:v>
                </c:pt>
                <c:pt idx="61">
                  <c:v>2.2320816755050488</c:v>
                </c:pt>
                <c:pt idx="62">
                  <c:v>2.3382262005015044</c:v>
                </c:pt>
                <c:pt idx="63">
                  <c:v>2.4615960191588386</c:v>
                </c:pt>
                <c:pt idx="64">
                  <c:v>2.6818922918285759</c:v>
                </c:pt>
                <c:pt idx="65">
                  <c:v>2.7811232635869922</c:v>
                </c:pt>
                <c:pt idx="66">
                  <c:v>2.8929900233256673</c:v>
                </c:pt>
                <c:pt idx="67">
                  <c:v>2.9480445616816948</c:v>
                </c:pt>
                <c:pt idx="68">
                  <c:v>3.1591422931787863</c:v>
                </c:pt>
                <c:pt idx="69">
                  <c:v>3.3794190360371168</c:v>
                </c:pt>
                <c:pt idx="70">
                  <c:v>3.4778297557164435</c:v>
                </c:pt>
                <c:pt idx="71">
                  <c:v>3.5997348385182608</c:v>
                </c:pt>
                <c:pt idx="72">
                  <c:v>3.7088869544713781</c:v>
                </c:pt>
                <c:pt idx="73">
                  <c:v>3.8292491821720511</c:v>
                </c:pt>
                <c:pt idx="74">
                  <c:v>4.0404055031033623</c:v>
                </c:pt>
                <c:pt idx="75">
                  <c:v>4.2699198467571531</c:v>
                </c:pt>
                <c:pt idx="76">
                  <c:v>4.4994341904109429</c:v>
                </c:pt>
                <c:pt idx="77">
                  <c:v>4.7197890525149013</c:v>
                </c:pt>
                <c:pt idx="78">
                  <c:v>4.9297931145732061</c:v>
                </c:pt>
                <c:pt idx="79">
                  <c:v>5.0824381205294715</c:v>
                </c:pt>
              </c:numCache>
            </c:numRef>
          </c:xVal>
          <c:yVal>
            <c:numRef>
              <c:f>Sheet1!$H$2:$H$81</c:f>
              <c:numCache>
                <c:formatCode>General</c:formatCode>
                <c:ptCount val="80"/>
                <c:pt idx="0">
                  <c:v>1.0126509678211132E-2</c:v>
                </c:pt>
                <c:pt idx="1">
                  <c:v>2.9509988732928056E-2</c:v>
                </c:pt>
                <c:pt idx="2">
                  <c:v>4.7211033278711033E-2</c:v>
                </c:pt>
                <c:pt idx="3">
                  <c:v>5.9348996400917703E-2</c:v>
                </c:pt>
                <c:pt idx="4">
                  <c:v>7.1007773021767084E-2</c:v>
                </c:pt>
                <c:pt idx="5">
                  <c:v>7.0969427725843165E-2</c:v>
                </c:pt>
                <c:pt idx="6">
                  <c:v>7.2563152667564745E-2</c:v>
                </c:pt>
                <c:pt idx="7">
                  <c:v>7.2183313282625949E-2</c:v>
                </c:pt>
                <c:pt idx="8">
                  <c:v>6.957183467311169E-2</c:v>
                </c:pt>
                <c:pt idx="9">
                  <c:v>7.1136736396170616E-2</c:v>
                </c:pt>
                <c:pt idx="10">
                  <c:v>7.4797292077780533E-2</c:v>
                </c:pt>
                <c:pt idx="11">
                  <c:v>7.9903224990307067E-2</c:v>
                </c:pt>
                <c:pt idx="12">
                  <c:v>8.4473335289884349E-2</c:v>
                </c:pt>
                <c:pt idx="13">
                  <c:v>8.9887218484972484E-2</c:v>
                </c:pt>
                <c:pt idx="14">
                  <c:v>8.3505771891729266E-2</c:v>
                </c:pt>
                <c:pt idx="15">
                  <c:v>7.8004226620942793E-2</c:v>
                </c:pt>
                <c:pt idx="16">
                  <c:v>6.9132035199185676E-2</c:v>
                </c:pt>
                <c:pt idx="17">
                  <c:v>4.2918112672515572E-2</c:v>
                </c:pt>
                <c:pt idx="18">
                  <c:v>2.2951324469524442E-2</c:v>
                </c:pt>
                <c:pt idx="19">
                  <c:v>0</c:v>
                </c:pt>
                <c:pt idx="20">
                  <c:v>0</c:v>
                </c:pt>
                <c:pt idx="21">
                  <c:v>3.7606875750479324E-3</c:v>
                </c:pt>
                <c:pt idx="22">
                  <c:v>1.6696902641364097E-2</c:v>
                </c:pt>
                <c:pt idx="23">
                  <c:v>2.7919574743824151E-2</c:v>
                </c:pt>
                <c:pt idx="24">
                  <c:v>3.7400815942232275E-2</c:v>
                </c:pt>
                <c:pt idx="25">
                  <c:v>4.6415428775732771E-2</c:v>
                </c:pt>
                <c:pt idx="26">
                  <c:v>5.4222272912421057E-2</c:v>
                </c:pt>
                <c:pt idx="27">
                  <c:v>5.9789146425481388E-2</c:v>
                </c:pt>
                <c:pt idx="28">
                  <c:v>6.575150314437761E-2</c:v>
                </c:pt>
                <c:pt idx="29">
                  <c:v>7.1236046237497325E-2</c:v>
                </c:pt>
                <c:pt idx="30">
                  <c:v>7.4051428430417662E-2</c:v>
                </c:pt>
                <c:pt idx="31">
                  <c:v>7.5555186942269745E-2</c:v>
                </c:pt>
                <c:pt idx="32">
                  <c:v>7.5304532384994877E-2</c:v>
                </c:pt>
                <c:pt idx="33">
                  <c:v>7.4854213672984185E-2</c:v>
                </c:pt>
                <c:pt idx="34">
                  <c:v>7.3223091568822868E-2</c:v>
                </c:pt>
                <c:pt idx="35">
                  <c:v>7.3104545925776754E-2</c:v>
                </c:pt>
                <c:pt idx="36">
                  <c:v>7.573723464259266E-2</c:v>
                </c:pt>
                <c:pt idx="37">
                  <c:v>7.8573279767014212E-2</c:v>
                </c:pt>
                <c:pt idx="38">
                  <c:v>8.354576249952983E-2</c:v>
                </c:pt>
                <c:pt idx="39">
                  <c:v>8.9836366098431028E-2</c:v>
                </c:pt>
                <c:pt idx="40">
                  <c:v>8.8992392796280864E-2</c:v>
                </c:pt>
                <c:pt idx="41">
                  <c:v>7.6977914354274424E-2</c:v>
                </c:pt>
                <c:pt idx="42">
                  <c:v>6.6167490631093409E-2</c:v>
                </c:pt>
                <c:pt idx="43">
                  <c:v>5.3703309002524804E-2</c:v>
                </c:pt>
                <c:pt idx="44">
                  <c:v>3.8622898672178656E-2</c:v>
                </c:pt>
                <c:pt idx="45">
                  <c:v>2.5966808747222004E-2</c:v>
                </c:pt>
                <c:pt idx="46">
                  <c:v>1.538373170683823E-2</c:v>
                </c:pt>
                <c:pt idx="47">
                  <c:v>0</c:v>
                </c:pt>
                <c:pt idx="48">
                  <c:v>1.788634150326355E-3</c:v>
                </c:pt>
                <c:pt idx="49">
                  <c:v>1.4426575640680322E-2</c:v>
                </c:pt>
                <c:pt idx="50">
                  <c:v>1.9500349953840396E-2</c:v>
                </c:pt>
                <c:pt idx="51">
                  <c:v>2.5528270592261766E-2</c:v>
                </c:pt>
                <c:pt idx="52">
                  <c:v>3.0641515522207112E-2</c:v>
                </c:pt>
                <c:pt idx="53">
                  <c:v>3.5525620555784961E-2</c:v>
                </c:pt>
                <c:pt idx="54">
                  <c:v>4.4829424904700543E-2</c:v>
                </c:pt>
                <c:pt idx="55">
                  <c:v>4.81466193093869E-2</c:v>
                </c:pt>
                <c:pt idx="56">
                  <c:v>5.6726096946797602E-2</c:v>
                </c:pt>
                <c:pt idx="57">
                  <c:v>6.4615813263384392E-2</c:v>
                </c:pt>
                <c:pt idx="58">
                  <c:v>7.0689275914682312E-2</c:v>
                </c:pt>
                <c:pt idx="59">
                  <c:v>7.3049629059462523E-2</c:v>
                </c:pt>
                <c:pt idx="60">
                  <c:v>7.4627041639211883E-2</c:v>
                </c:pt>
                <c:pt idx="61">
                  <c:v>7.5817273845126307E-2</c:v>
                </c:pt>
                <c:pt idx="62">
                  <c:v>7.6669390075570817E-2</c:v>
                </c:pt>
                <c:pt idx="63">
                  <c:v>7.7748364190348834E-2</c:v>
                </c:pt>
                <c:pt idx="64">
                  <c:v>8.1068346306082201E-2</c:v>
                </c:pt>
                <c:pt idx="65">
                  <c:v>8.3233238222759368E-2</c:v>
                </c:pt>
                <c:pt idx="66">
                  <c:v>8.5759864457375656E-2</c:v>
                </c:pt>
                <c:pt idx="67">
                  <c:v>8.7154896937952614E-2</c:v>
                </c:pt>
                <c:pt idx="68">
                  <c:v>9.2618638284547847E-2</c:v>
                </c:pt>
                <c:pt idx="69">
                  <c:v>9.4539789341706967E-2</c:v>
                </c:pt>
                <c:pt idx="70">
                  <c:v>9.3652187637341844E-2</c:v>
                </c:pt>
                <c:pt idx="71">
                  <c:v>9.2131602573664359E-2</c:v>
                </c:pt>
                <c:pt idx="72">
                  <c:v>8.9051872719259434E-2</c:v>
                </c:pt>
                <c:pt idx="73">
                  <c:v>8.4757418204445586E-2</c:v>
                </c:pt>
                <c:pt idx="74">
                  <c:v>7.6024930371127522E-2</c:v>
                </c:pt>
                <c:pt idx="75">
                  <c:v>6.4124642536701193E-2</c:v>
                </c:pt>
                <c:pt idx="76">
                  <c:v>4.9310854931549915E-2</c:v>
                </c:pt>
                <c:pt idx="77">
                  <c:v>3.2308822868818081E-2</c:v>
                </c:pt>
                <c:pt idx="78">
                  <c:v>1.4652851411225356E-2</c:v>
                </c:pt>
                <c:pt idx="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A-4B95-9C25-8B69B2D2B7C2}"/>
            </c:ext>
          </c:extLst>
        </c:ser>
        <c:ser>
          <c:idx val="1"/>
          <c:order val="1"/>
          <c:tx>
            <c:strRef>
              <c:f>Sheet1!$A$2</c:f>
              <c:strCache>
                <c:ptCount val="1"/>
                <c:pt idx="0">
                  <c:v>9GA0824P1S61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Sheet1!$G$82:$G$156</c:f>
              <c:numCache>
                <c:formatCode>General</c:formatCode>
                <c:ptCount val="75"/>
                <c:pt idx="0">
                  <c:v>6.8946418706606213E-2</c:v>
                </c:pt>
                <c:pt idx="1">
                  <c:v>1.0191511648849374</c:v>
                </c:pt>
                <c:pt idx="2">
                  <c:v>2.0519797076918351</c:v>
                </c:pt>
                <c:pt idx="3">
                  <c:v>2.5995100138677416</c:v>
                </c:pt>
                <c:pt idx="4">
                  <c:v>2.9610279803049959</c:v>
                </c:pt>
                <c:pt idx="5">
                  <c:v>3.1676185568262336</c:v>
                </c:pt>
                <c:pt idx="6">
                  <c:v>4.1180098127035007</c:v>
                </c:pt>
                <c:pt idx="7">
                  <c:v>4.7170789656853378</c:v>
                </c:pt>
                <c:pt idx="8">
                  <c:v>5.1508383555103974</c:v>
                </c:pt>
                <c:pt idx="9">
                  <c:v>5.6346445145499011</c:v>
                </c:pt>
                <c:pt idx="10">
                  <c:v>6.101229611387665</c:v>
                </c:pt>
                <c:pt idx="11">
                  <c:v>6.5196330360003429</c:v>
                </c:pt>
                <c:pt idx="12">
                  <c:v>7.0515586973652864</c:v>
                </c:pt>
                <c:pt idx="13">
                  <c:v>7.443975103926241</c:v>
                </c:pt>
                <c:pt idx="14">
                  <c:v>7.8829567653215058</c:v>
                </c:pt>
                <c:pt idx="15">
                  <c:v>8.0843872401721839</c:v>
                </c:pt>
                <c:pt idx="16">
                  <c:v>8.2238964949761737</c:v>
                </c:pt>
                <c:pt idx="17">
                  <c:v>8.5182709697965358</c:v>
                </c:pt>
                <c:pt idx="18">
                  <c:v>8.8178055462874525</c:v>
                </c:pt>
                <c:pt idx="19">
                  <c:v>9.0347163261498054</c:v>
                </c:pt>
                <c:pt idx="20">
                  <c:v>9.282525546135858</c:v>
                </c:pt>
                <c:pt idx="21">
                  <c:v>9.6853243259375734</c:v>
                </c:pt>
                <c:pt idx="22">
                  <c:v>10.026077545893306</c:v>
                </c:pt>
                <c:pt idx="23">
                  <c:v>10.330710054155137</c:v>
                </c:pt>
                <c:pt idx="24">
                  <c:v>10.594061749052509</c:v>
                </c:pt>
                <c:pt idx="25">
                  <c:v>11.017500935536454</c:v>
                </c:pt>
                <c:pt idx="26">
                  <c:v>11.167330393681558</c:v>
                </c:pt>
                <c:pt idx="27">
                  <c:v>11.533946291889723</c:v>
                </c:pt>
                <c:pt idx="28">
                  <c:v>2.9813292784437066E-2</c:v>
                </c:pt>
                <c:pt idx="29">
                  <c:v>0.48048854712206956</c:v>
                </c:pt>
                <c:pt idx="30">
                  <c:v>0.93116380145970223</c:v>
                </c:pt>
                <c:pt idx="31">
                  <c:v>1.3818390557973346</c:v>
                </c:pt>
                <c:pt idx="32">
                  <c:v>1.4381593330668923</c:v>
                </c:pt>
                <c:pt idx="33">
                  <c:v>1.8888628464498178</c:v>
                </c:pt>
                <c:pt idx="34">
                  <c:v>2.3395663598327436</c:v>
                </c:pt>
                <c:pt idx="35">
                  <c:v>2.7902698732156694</c:v>
                </c:pt>
                <c:pt idx="36">
                  <c:v>3.2410016456438888</c:v>
                </c:pt>
                <c:pt idx="37">
                  <c:v>3.6729976710426464</c:v>
                </c:pt>
                <c:pt idx="38">
                  <c:v>4.1049654373961113</c:v>
                </c:pt>
                <c:pt idx="39">
                  <c:v>4.5556689507790367</c:v>
                </c:pt>
                <c:pt idx="40">
                  <c:v>5.0063724641619629</c:v>
                </c:pt>
                <c:pt idx="41">
                  <c:v>5.4570477184995951</c:v>
                </c:pt>
                <c:pt idx="42">
                  <c:v>5.9076947137919342</c:v>
                </c:pt>
                <c:pt idx="43">
                  <c:v>6.3770774561137351</c:v>
                </c:pt>
                <c:pt idx="44">
                  <c:v>6.8277527104513673</c:v>
                </c:pt>
                <c:pt idx="45">
                  <c:v>7.0906183497696933</c:v>
                </c:pt>
                <c:pt idx="46">
                  <c:v>7.5413218631526204</c:v>
                </c:pt>
                <c:pt idx="47">
                  <c:v>8.0107893826102998</c:v>
                </c:pt>
                <c:pt idx="48">
                  <c:v>8.4614363779026398</c:v>
                </c:pt>
                <c:pt idx="49">
                  <c:v>8.9308473792697338</c:v>
                </c:pt>
                <c:pt idx="50">
                  <c:v>3.0810670853612547E-2</c:v>
                </c:pt>
                <c:pt idx="51">
                  <c:v>0.33456548641456901</c:v>
                </c:pt>
                <c:pt idx="52">
                  <c:v>0.62617888628009588</c:v>
                </c:pt>
                <c:pt idx="53">
                  <c:v>0.9299337018410524</c:v>
                </c:pt>
                <c:pt idx="54">
                  <c:v>1.2336885174020089</c:v>
                </c:pt>
                <c:pt idx="55">
                  <c:v>1.5131970721013095</c:v>
                </c:pt>
                <c:pt idx="56">
                  <c:v>1.7926873415360085</c:v>
                </c:pt>
                <c:pt idx="57">
                  <c:v>2.0843190266661371</c:v>
                </c:pt>
                <c:pt idx="58">
                  <c:v>2.3880921274916949</c:v>
                </c:pt>
                <c:pt idx="59">
                  <c:v>2.6797238126218232</c:v>
                </c:pt>
                <c:pt idx="60">
                  <c:v>2.9713554977519521</c:v>
                </c:pt>
                <c:pt idx="61">
                  <c:v>3.2629688976174789</c:v>
                </c:pt>
                <c:pt idx="62">
                  <c:v>3.5546005827476073</c:v>
                </c:pt>
                <c:pt idx="63">
                  <c:v>3.8462688384069388</c:v>
                </c:pt>
                <c:pt idx="64">
                  <c:v>4.137863953007864</c:v>
                </c:pt>
                <c:pt idx="65">
                  <c:v>4.4416187685688202</c:v>
                </c:pt>
                <c:pt idx="66">
                  <c:v>4.5874620390307879</c:v>
                </c:pt>
                <c:pt idx="67">
                  <c:v>4.8791120094255174</c:v>
                </c:pt>
                <c:pt idx="68">
                  <c:v>5.1707619798202478</c:v>
                </c:pt>
                <c:pt idx="69">
                  <c:v>5.4502705345195483</c:v>
                </c:pt>
                <c:pt idx="70">
                  <c:v>5.7540253500805045</c:v>
                </c:pt>
                <c:pt idx="71">
                  <c:v>6.0577618803768596</c:v>
                </c:pt>
                <c:pt idx="72">
                  <c:v>6.3493387097131828</c:v>
                </c:pt>
                <c:pt idx="73">
                  <c:v>6.6530752400095379</c:v>
                </c:pt>
                <c:pt idx="74">
                  <c:v>6.9568300555704941</c:v>
                </c:pt>
              </c:numCache>
            </c:numRef>
          </c:xVal>
          <c:yVal>
            <c:numRef>
              <c:f>Sheet1!$H$82:$H$156</c:f>
              <c:numCache>
                <c:formatCode>General</c:formatCode>
                <c:ptCount val="75"/>
                <c:pt idx="0">
                  <c:v>1.0214781267765101E-2</c:v>
                </c:pt>
                <c:pt idx="1">
                  <c:v>0.13713397211748407</c:v>
                </c:pt>
                <c:pt idx="2">
                  <c:v>0.25152255182706595</c:v>
                </c:pt>
                <c:pt idx="3">
                  <c:v>0.30214140716893451</c:v>
                </c:pt>
                <c:pt idx="4">
                  <c:v>0.3318906871474247</c:v>
                </c:pt>
                <c:pt idx="5">
                  <c:v>0.35494678700083349</c:v>
                </c:pt>
                <c:pt idx="6">
                  <c:v>0.44193718704317286</c:v>
                </c:pt>
                <c:pt idx="7">
                  <c:v>0.47900208397862443</c:v>
                </c:pt>
                <c:pt idx="8">
                  <c:v>0.50086449598308536</c:v>
                </c:pt>
                <c:pt idx="9">
                  <c:v>0.5391792858016824</c:v>
                </c:pt>
                <c:pt idx="10">
                  <c:v>0.5747101539925128</c:v>
                </c:pt>
                <c:pt idx="11">
                  <c:v>0.6014500272103579</c:v>
                </c:pt>
                <c:pt idx="12">
                  <c:v>0.63177742360284161</c:v>
                </c:pt>
                <c:pt idx="13">
                  <c:v>0.63918493023428402</c:v>
                </c:pt>
                <c:pt idx="14">
                  <c:v>0.63677708739394623</c:v>
                </c:pt>
                <c:pt idx="15">
                  <c:v>0.63417733708482649</c:v>
                </c:pt>
                <c:pt idx="16">
                  <c:v>0.62724847418027785</c:v>
                </c:pt>
                <c:pt idx="17">
                  <c:v>0.5953909008456304</c:v>
                </c:pt>
                <c:pt idx="18">
                  <c:v>0.55912193372218555</c:v>
                </c:pt>
                <c:pt idx="19">
                  <c:v>0.53043118309156045</c:v>
                </c:pt>
                <c:pt idx="20">
                  <c:v>0.49858832929650732</c:v>
                </c:pt>
                <c:pt idx="21">
                  <c:v>0.44279838964261592</c:v>
                </c:pt>
                <c:pt idx="22">
                  <c:v>0.38880389458730813</c:v>
                </c:pt>
                <c:pt idx="23">
                  <c:v>0.32329176011625449</c:v>
                </c:pt>
                <c:pt idx="24">
                  <c:v>0.26298192028660955</c:v>
                </c:pt>
                <c:pt idx="25">
                  <c:v>0.15461549964574031</c:v>
                </c:pt>
                <c:pt idx="26">
                  <c:v>0.11157366006530876</c:v>
                </c:pt>
                <c:pt idx="27">
                  <c:v>0</c:v>
                </c:pt>
                <c:pt idx="28">
                  <c:v>2.5354684576143799E-3</c:v>
                </c:pt>
                <c:pt idx="29">
                  <c:v>3.9602832261136547E-2</c:v>
                </c:pt>
                <c:pt idx="30">
                  <c:v>7.3166693534596733E-2</c:v>
                </c:pt>
                <c:pt idx="31">
                  <c:v>0.10429306480345731</c:v>
                </c:pt>
                <c:pt idx="32">
                  <c:v>0.10781566588063592</c:v>
                </c:pt>
                <c:pt idx="33">
                  <c:v>0.13500859473084945</c:v>
                </c:pt>
                <c:pt idx="34">
                  <c:v>0.16150696881154969</c:v>
                </c:pt>
                <c:pt idx="35">
                  <c:v>0.1869379910502533</c:v>
                </c:pt>
                <c:pt idx="36">
                  <c:v>0.21000046817696916</c:v>
                </c:pt>
                <c:pt idx="37">
                  <c:v>0.22457651094183484</c:v>
                </c:pt>
                <c:pt idx="38">
                  <c:v>0.24330396380084848</c:v>
                </c:pt>
                <c:pt idx="39">
                  <c:v>0.26536906030128232</c:v>
                </c:pt>
                <c:pt idx="40">
                  <c:v>0.28651404059916635</c:v>
                </c:pt>
                <c:pt idx="41">
                  <c:v>0.29974385112260971</c:v>
                </c:pt>
                <c:pt idx="42">
                  <c:v>0.29713675539026163</c:v>
                </c:pt>
                <c:pt idx="43">
                  <c:v>0.28295230730325621</c:v>
                </c:pt>
                <c:pt idx="44">
                  <c:v>0.26147184861195727</c:v>
                </c:pt>
                <c:pt idx="45">
                  <c:v>0.24573934970052863</c:v>
                </c:pt>
                <c:pt idx="46">
                  <c:v>0.21043719952061316</c:v>
                </c:pt>
                <c:pt idx="47">
                  <c:v>0.16225056741502733</c:v>
                </c:pt>
                <c:pt idx="48">
                  <c:v>9.5833075858111391E-2</c:v>
                </c:pt>
                <c:pt idx="49">
                  <c:v>0</c:v>
                </c:pt>
                <c:pt idx="50">
                  <c:v>1.718481162952057E-3</c:v>
                </c:pt>
                <c:pt idx="51">
                  <c:v>1.7791435115944772E-2</c:v>
                </c:pt>
                <c:pt idx="52">
                  <c:v>3.1854042532666035E-2</c:v>
                </c:pt>
                <c:pt idx="53">
                  <c:v>4.5145104728016375E-2</c:v>
                </c:pt>
                <c:pt idx="54">
                  <c:v>5.7504245253630966E-2</c:v>
                </c:pt>
                <c:pt idx="55">
                  <c:v>6.7877569859999765E-2</c:v>
                </c:pt>
                <c:pt idx="56">
                  <c:v>7.757210945553969E-2</c:v>
                </c:pt>
                <c:pt idx="57">
                  <c:v>8.7501406590275763E-2</c:v>
                </c:pt>
                <c:pt idx="58">
                  <c:v>9.8158529104299605E-2</c:v>
                </c:pt>
                <c:pt idx="59">
                  <c:v>0.10615697932036137</c:v>
                </c:pt>
                <c:pt idx="60">
                  <c:v>0.11228953270424578</c:v>
                </c:pt>
                <c:pt idx="61">
                  <c:v>0.12041665815472881</c:v>
                </c:pt>
                <c:pt idx="62">
                  <c:v>0.1304177752594621</c:v>
                </c:pt>
                <c:pt idx="63">
                  <c:v>0.14057281447819869</c:v>
                </c:pt>
                <c:pt idx="64">
                  <c:v>0.14888476375002507</c:v>
                </c:pt>
                <c:pt idx="65">
                  <c:v>0.1526834371671866</c:v>
                </c:pt>
                <c:pt idx="66">
                  <c:v>0.15364608146634892</c:v>
                </c:pt>
                <c:pt idx="67">
                  <c:v>0.1495405423855527</c:v>
                </c:pt>
                <c:pt idx="68">
                  <c:v>0.14035743012965546</c:v>
                </c:pt>
                <c:pt idx="69">
                  <c:v>0.13017866022000962</c:v>
                </c:pt>
                <c:pt idx="70">
                  <c:v>0.11502243120580594</c:v>
                </c:pt>
                <c:pt idx="71">
                  <c:v>9.4999434869442942E-2</c:v>
                </c:pt>
                <c:pt idx="72">
                  <c:v>7.2358105594809777E-2</c:v>
                </c:pt>
                <c:pt idx="73">
                  <c:v>4.5307030691375538E-2</c:v>
                </c:pt>
                <c:pt idx="74">
                  <c:v>1.7889775428280182E-2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9A-4267-85FA-7F5F8B3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780912"/>
        <c:axId val="710534848"/>
      </c:scatterChart>
      <c:valAx>
        <c:axId val="71678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Sheet1!$G$1</c:f>
              <c:strCache>
                <c:ptCount val="1"/>
                <c:pt idx="0">
                  <c:v>C_F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34848"/>
        <c:crosses val="autoZero"/>
        <c:crossBetween val="midCat"/>
      </c:valAx>
      <c:valAx>
        <c:axId val="7105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Sheet1!$H$1</c:f>
              <c:strCache>
                <c:ptCount val="1"/>
                <c:pt idx="0">
                  <c:v>C_P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78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Sheet1!$G$2:$G$81</c:f>
              <c:numCache>
                <c:formatCode>General</c:formatCode>
                <c:ptCount val="80"/>
                <c:pt idx="0">
                  <c:v>0.12226032333689105</c:v>
                </c:pt>
                <c:pt idx="1">
                  <c:v>0.40691271212651742</c:v>
                </c:pt>
                <c:pt idx="2">
                  <c:v>0.72655174788893107</c:v>
                </c:pt>
                <c:pt idx="3">
                  <c:v>1.084457428777831</c:v>
                </c:pt>
                <c:pt idx="4">
                  <c:v>1.3914266677504668</c:v>
                </c:pt>
                <c:pt idx="5">
                  <c:v>1.5821810701793038</c:v>
                </c:pt>
                <c:pt idx="6">
                  <c:v>1.8760946302264327</c:v>
                </c:pt>
                <c:pt idx="7">
                  <c:v>2.1169493966107864</c:v>
                </c:pt>
                <c:pt idx="8">
                  <c:v>2.2540018684839662</c:v>
                </c:pt>
                <c:pt idx="9">
                  <c:v>2.4459139173199906</c:v>
                </c:pt>
                <c:pt idx="10">
                  <c:v>2.5717758072570223</c:v>
                </c:pt>
                <c:pt idx="11">
                  <c:v>2.7515325688175745</c:v>
                </c:pt>
                <c:pt idx="12">
                  <c:v>2.955342650171918</c:v>
                </c:pt>
                <c:pt idx="13">
                  <c:v>3.2650773777839475</c:v>
                </c:pt>
                <c:pt idx="14">
                  <c:v>3.5490866296806916</c:v>
                </c:pt>
                <c:pt idx="15">
                  <c:v>3.7349531917236245</c:v>
                </c:pt>
                <c:pt idx="16">
                  <c:v>3.960244045300231</c:v>
                </c:pt>
                <c:pt idx="17">
                  <c:v>4.2508776071936607</c:v>
                </c:pt>
                <c:pt idx="18">
                  <c:v>4.4669072895127648</c:v>
                </c:pt>
                <c:pt idx="19">
                  <c:v>4.6557322812629556</c:v>
                </c:pt>
                <c:pt idx="20">
                  <c:v>4.7489228170415743</c:v>
                </c:pt>
                <c:pt idx="21">
                  <c:v>4.3833524424593907E-2</c:v>
                </c:pt>
                <c:pt idx="22">
                  <c:v>0.20574491607907475</c:v>
                </c:pt>
                <c:pt idx="23">
                  <c:v>0.36768626913097502</c:v>
                </c:pt>
                <c:pt idx="24">
                  <c:v>0.52782993833771075</c:v>
                </c:pt>
                <c:pt idx="25">
                  <c:v>0.70562087062447787</c:v>
                </c:pt>
                <c:pt idx="26">
                  <c:v>0.88338184151382548</c:v>
                </c:pt>
                <c:pt idx="27">
                  <c:v>1.0435854335154002</c:v>
                </c:pt>
                <c:pt idx="28">
                  <c:v>1.1843740399891982</c:v>
                </c:pt>
                <c:pt idx="29">
                  <c:v>1.367438178221781</c:v>
                </c:pt>
                <c:pt idx="30">
                  <c:v>1.5223685642775397</c:v>
                </c:pt>
                <c:pt idx="31">
                  <c:v>1.6983917741165622</c:v>
                </c:pt>
                <c:pt idx="32">
                  <c:v>1.8744449453530032</c:v>
                </c:pt>
                <c:pt idx="33">
                  <c:v>2.0469626716939548</c:v>
                </c:pt>
                <c:pt idx="34">
                  <c:v>2.2124394696413452</c:v>
                </c:pt>
                <c:pt idx="35">
                  <c:v>2.3724932546558226</c:v>
                </c:pt>
                <c:pt idx="36">
                  <c:v>2.5504040325322674</c:v>
                </c:pt>
                <c:pt idx="37">
                  <c:v>2.6542202745905161</c:v>
                </c:pt>
                <c:pt idx="38">
                  <c:v>2.846033140869566</c:v>
                </c:pt>
                <c:pt idx="39">
                  <c:v>3.1839977037604883</c:v>
                </c:pt>
                <c:pt idx="40">
                  <c:v>3.5219622666514105</c:v>
                </c:pt>
                <c:pt idx="41">
                  <c:v>3.8599567909397527</c:v>
                </c:pt>
                <c:pt idx="42">
                  <c:v>4.0381372213929714</c:v>
                </c:pt>
                <c:pt idx="43">
                  <c:v>4.2120631334126344</c:v>
                </c:pt>
                <c:pt idx="44">
                  <c:v>4.4070818692155616</c:v>
                </c:pt>
                <c:pt idx="45">
                  <c:v>4.5398108597835396</c:v>
                </c:pt>
                <c:pt idx="46">
                  <c:v>4.6544132049127747</c:v>
                </c:pt>
                <c:pt idx="47">
                  <c:v>4.812309769313055</c:v>
                </c:pt>
                <c:pt idx="48">
                  <c:v>2.892365069360647E-2</c:v>
                </c:pt>
                <c:pt idx="49">
                  <c:v>0.24921992336334378</c:v>
                </c:pt>
                <c:pt idx="50">
                  <c:v>0.34733769587156721</c:v>
                </c:pt>
                <c:pt idx="51">
                  <c:v>0.46953572584448799</c:v>
                </c:pt>
                <c:pt idx="52">
                  <c:v>0.57970339199076348</c:v>
                </c:pt>
                <c:pt idx="53">
                  <c:v>0.68985152832563224</c:v>
                </c:pt>
                <c:pt idx="54">
                  <c:v>0.91016733080677659</c:v>
                </c:pt>
                <c:pt idx="55">
                  <c:v>0.9927784330579279</c:v>
                </c:pt>
                <c:pt idx="56">
                  <c:v>1.2130942355390721</c:v>
                </c:pt>
                <c:pt idx="57">
                  <c:v>1.4334100380202162</c:v>
                </c:pt>
                <c:pt idx="58">
                  <c:v>1.6537258405013606</c:v>
                </c:pt>
                <c:pt idx="59">
                  <c:v>1.7822319995587073</c:v>
                </c:pt>
                <c:pt idx="60">
                  <c:v>2.0117463432124976</c:v>
                </c:pt>
                <c:pt idx="61">
                  <c:v>2.2320816755050488</c:v>
                </c:pt>
                <c:pt idx="62">
                  <c:v>2.3382262005015044</c:v>
                </c:pt>
                <c:pt idx="63">
                  <c:v>2.4615960191588386</c:v>
                </c:pt>
                <c:pt idx="64">
                  <c:v>2.6818922918285759</c:v>
                </c:pt>
                <c:pt idx="65">
                  <c:v>2.7811232635869922</c:v>
                </c:pt>
                <c:pt idx="66">
                  <c:v>2.8929900233256673</c:v>
                </c:pt>
                <c:pt idx="67">
                  <c:v>2.9480445616816948</c:v>
                </c:pt>
                <c:pt idx="68">
                  <c:v>3.1591422931787863</c:v>
                </c:pt>
                <c:pt idx="69">
                  <c:v>3.3794190360371168</c:v>
                </c:pt>
                <c:pt idx="70">
                  <c:v>3.4778297557164435</c:v>
                </c:pt>
                <c:pt idx="71">
                  <c:v>3.5997348385182608</c:v>
                </c:pt>
                <c:pt idx="72">
                  <c:v>3.7088869544713781</c:v>
                </c:pt>
                <c:pt idx="73">
                  <c:v>3.8292491821720511</c:v>
                </c:pt>
                <c:pt idx="74">
                  <c:v>4.0404055031033623</c:v>
                </c:pt>
                <c:pt idx="75">
                  <c:v>4.2699198467571531</c:v>
                </c:pt>
                <c:pt idx="76">
                  <c:v>4.4994341904109429</c:v>
                </c:pt>
                <c:pt idx="77">
                  <c:v>4.7197890525149013</c:v>
                </c:pt>
                <c:pt idx="78">
                  <c:v>4.9297931145732061</c:v>
                </c:pt>
                <c:pt idx="79">
                  <c:v>5.0824381205294715</c:v>
                </c:pt>
              </c:numCache>
            </c:numRef>
          </c:xVal>
          <c:yVal>
            <c:numRef>
              <c:f>Sheet1!$I$2:$I$81</c:f>
              <c:numCache>
                <c:formatCode>General</c:formatCode>
                <c:ptCount val="80"/>
                <c:pt idx="0">
                  <c:v>9.9392928811162795E-2</c:v>
                </c:pt>
                <c:pt idx="1">
                  <c:v>8.7026001951257204E-2</c:v>
                </c:pt>
                <c:pt idx="2">
                  <c:v>7.797550566640972E-2</c:v>
                </c:pt>
                <c:pt idx="3">
                  <c:v>6.5672283476691073E-2</c:v>
                </c:pt>
                <c:pt idx="4">
                  <c:v>6.1238820270621414E-2</c:v>
                </c:pt>
                <c:pt idx="5">
                  <c:v>5.3826527744615535E-2</c:v>
                </c:pt>
                <c:pt idx="6">
                  <c:v>4.6413321480787022E-2</c:v>
                </c:pt>
                <c:pt idx="7">
                  <c:v>4.0917357815840466E-2</c:v>
                </c:pt>
                <c:pt idx="8">
                  <c:v>3.7039100443996768E-2</c:v>
                </c:pt>
                <c:pt idx="9">
                  <c:v>3.4900690114613227E-2</c:v>
                </c:pt>
                <c:pt idx="10">
                  <c:v>3.4900690114613227E-2</c:v>
                </c:pt>
                <c:pt idx="11">
                  <c:v>3.4847441413195034E-2</c:v>
                </c:pt>
                <c:pt idx="12">
                  <c:v>3.4299915220309375E-2</c:v>
                </c:pt>
                <c:pt idx="13">
                  <c:v>3.3035867056595204E-2</c:v>
                </c:pt>
                <c:pt idx="14">
                  <c:v>2.8234567573542337E-2</c:v>
                </c:pt>
                <c:pt idx="15">
                  <c:v>2.5061912998683128E-2</c:v>
                </c:pt>
                <c:pt idx="16">
                  <c:v>2.0947810612195143E-2</c:v>
                </c:pt>
                <c:pt idx="17">
                  <c:v>1.211555353178447E-2</c:v>
                </c:pt>
                <c:pt idx="18">
                  <c:v>6.1656953185687154E-3</c:v>
                </c:pt>
                <c:pt idx="19">
                  <c:v>0</c:v>
                </c:pt>
                <c:pt idx="20">
                  <c:v>0</c:v>
                </c:pt>
                <c:pt idx="21">
                  <c:v>0.10295373573760551</c:v>
                </c:pt>
                <c:pt idx="22">
                  <c:v>9.7384098482104359E-2</c:v>
                </c:pt>
                <c:pt idx="23">
                  <c:v>9.1119773854417607E-2</c:v>
                </c:pt>
                <c:pt idx="24">
                  <c:v>8.5029241183290805E-2</c:v>
                </c:pt>
                <c:pt idx="25">
                  <c:v>7.8935469243683026E-2</c:v>
                </c:pt>
                <c:pt idx="26">
                  <c:v>7.365640138516126E-2</c:v>
                </c:pt>
                <c:pt idx="27">
                  <c:v>6.8750457227916908E-2</c:v>
                </c:pt>
                <c:pt idx="28">
                  <c:v>6.6618991221702825E-2</c:v>
                </c:pt>
                <c:pt idx="29">
                  <c:v>6.2513433401544583E-2</c:v>
                </c:pt>
                <c:pt idx="30">
                  <c:v>5.8370696953186023E-2</c:v>
                </c:pt>
                <c:pt idx="31">
                  <c:v>5.3383574810284704E-2</c:v>
                </c:pt>
                <c:pt idx="32">
                  <c:v>4.8209172046381879E-2</c:v>
                </c:pt>
                <c:pt idx="33">
                  <c:v>4.388211746589725E-2</c:v>
                </c:pt>
                <c:pt idx="34">
                  <c:v>3.9715305701372022E-2</c:v>
                </c:pt>
                <c:pt idx="35">
                  <c:v>3.6976060917677252E-2</c:v>
                </c:pt>
                <c:pt idx="36">
                  <c:v>3.5635405375701507E-2</c:v>
                </c:pt>
                <c:pt idx="37">
                  <c:v>3.5523779477934794E-2</c:v>
                </c:pt>
                <c:pt idx="38">
                  <c:v>3.5226193806304117E-2</c:v>
                </c:pt>
                <c:pt idx="39">
                  <c:v>3.3857951339221995E-2</c:v>
                </c:pt>
                <c:pt idx="40">
                  <c:v>3.0321412687101548E-2</c:v>
                </c:pt>
                <c:pt idx="41">
                  <c:v>2.393122571785055E-2</c:v>
                </c:pt>
                <c:pt idx="42">
                  <c:v>1.9662776276315439E-2</c:v>
                </c:pt>
                <c:pt idx="43">
                  <c:v>1.5299858706252801E-2</c:v>
                </c:pt>
                <c:pt idx="44">
                  <c:v>1.0516591200713046E-2</c:v>
                </c:pt>
                <c:pt idx="45">
                  <c:v>6.8637596276757947E-3</c:v>
                </c:pt>
                <c:pt idx="46">
                  <c:v>3.9662310232191399E-3</c:v>
                </c:pt>
                <c:pt idx="47">
                  <c:v>0</c:v>
                </c:pt>
                <c:pt idx="48">
                  <c:v>7.4207817095027898E-2</c:v>
                </c:pt>
                <c:pt idx="49">
                  <c:v>6.9464313025957222E-2</c:v>
                </c:pt>
                <c:pt idx="50">
                  <c:v>6.7370804328883122E-2</c:v>
                </c:pt>
                <c:pt idx="51">
                  <c:v>6.5243011393046127E-2</c:v>
                </c:pt>
                <c:pt idx="52">
                  <c:v>6.3428675999940301E-2</c:v>
                </c:pt>
                <c:pt idx="53">
                  <c:v>6.1796985172175849E-2</c:v>
                </c:pt>
                <c:pt idx="54">
                  <c:v>5.9104856947519997E-2</c:v>
                </c:pt>
                <c:pt idx="55">
                  <c:v>5.8196211004810462E-2</c:v>
                </c:pt>
                <c:pt idx="56">
                  <c:v>5.6113790950385427E-2</c:v>
                </c:pt>
                <c:pt idx="57">
                  <c:v>5.4094065103071139E-2</c:v>
                </c:pt>
                <c:pt idx="58">
                  <c:v>5.1294555010340581E-2</c:v>
                </c:pt>
                <c:pt idx="59">
                  <c:v>4.9185265943524806E-2</c:v>
                </c:pt>
                <c:pt idx="60">
                  <c:v>4.4514782029652214E-2</c:v>
                </c:pt>
                <c:pt idx="61">
                  <c:v>4.0760483638469687E-2</c:v>
                </c:pt>
                <c:pt idx="62">
                  <c:v>3.9347462649658112E-2</c:v>
                </c:pt>
                <c:pt idx="63">
                  <c:v>3.7901441301607157E-2</c:v>
                </c:pt>
                <c:pt idx="64">
                  <c:v>3.6273647477829733E-2</c:v>
                </c:pt>
                <c:pt idx="65">
                  <c:v>3.5913505587842863E-2</c:v>
                </c:pt>
                <c:pt idx="66">
                  <c:v>3.5572828291522203E-2</c:v>
                </c:pt>
                <c:pt idx="67">
                  <c:v>3.5476355305118834E-2</c:v>
                </c:pt>
                <c:pt idx="68">
                  <c:v>3.5181183886979626E-2</c:v>
                </c:pt>
                <c:pt idx="69">
                  <c:v>3.3570192391140424E-2</c:v>
                </c:pt>
                <c:pt idx="70">
                  <c:v>3.2314009902321694E-2</c:v>
                </c:pt>
                <c:pt idx="71">
                  <c:v>3.0712796371942099E-2</c:v>
                </c:pt>
                <c:pt idx="72">
                  <c:v>2.8812484331526955E-2</c:v>
                </c:pt>
                <c:pt idx="73">
                  <c:v>2.6561055968586173E-2</c:v>
                </c:pt>
                <c:pt idx="74">
                  <c:v>2.2579396146075181E-2</c:v>
                </c:pt>
                <c:pt idx="75">
                  <c:v>1.8021315107936222E-2</c:v>
                </c:pt>
                <c:pt idx="76">
                  <c:v>1.3151214889189319E-2</c:v>
                </c:pt>
                <c:pt idx="77">
                  <c:v>8.2144746324887326E-3</c:v>
                </c:pt>
                <c:pt idx="78">
                  <c:v>3.5667666542620615E-3</c:v>
                </c:pt>
                <c:pt idx="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0-44B8-BDF7-98B8BC055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780912"/>
        <c:axId val="710534848"/>
      </c:scatterChart>
      <c:valAx>
        <c:axId val="71678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Sheet1!$G$1</c:f>
              <c:strCache>
                <c:ptCount val="1"/>
                <c:pt idx="0">
                  <c:v>C_F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34848"/>
        <c:crosses val="autoZero"/>
        <c:crossBetween val="midCat"/>
      </c:valAx>
      <c:valAx>
        <c:axId val="7105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Sheet1!$I$1</c:f>
              <c:strCache>
                <c:ptCount val="1"/>
                <c:pt idx="0">
                  <c:v>C_H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78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Sheet1!$I$2:$I$81</c:f>
              <c:numCache>
                <c:formatCode>General</c:formatCode>
                <c:ptCount val="80"/>
                <c:pt idx="0">
                  <c:v>9.9392928811162795E-2</c:v>
                </c:pt>
                <c:pt idx="1">
                  <c:v>8.7026001951257204E-2</c:v>
                </c:pt>
                <c:pt idx="2">
                  <c:v>7.797550566640972E-2</c:v>
                </c:pt>
                <c:pt idx="3">
                  <c:v>6.5672283476691073E-2</c:v>
                </c:pt>
                <c:pt idx="4">
                  <c:v>6.1238820270621414E-2</c:v>
                </c:pt>
                <c:pt idx="5">
                  <c:v>5.3826527744615535E-2</c:v>
                </c:pt>
                <c:pt idx="6">
                  <c:v>4.6413321480787022E-2</c:v>
                </c:pt>
                <c:pt idx="7">
                  <c:v>4.0917357815840466E-2</c:v>
                </c:pt>
                <c:pt idx="8">
                  <c:v>3.7039100443996768E-2</c:v>
                </c:pt>
                <c:pt idx="9">
                  <c:v>3.4900690114613227E-2</c:v>
                </c:pt>
                <c:pt idx="10">
                  <c:v>3.4900690114613227E-2</c:v>
                </c:pt>
                <c:pt idx="11">
                  <c:v>3.4847441413195034E-2</c:v>
                </c:pt>
                <c:pt idx="12">
                  <c:v>3.4299915220309375E-2</c:v>
                </c:pt>
                <c:pt idx="13">
                  <c:v>3.3035867056595204E-2</c:v>
                </c:pt>
                <c:pt idx="14">
                  <c:v>2.8234567573542337E-2</c:v>
                </c:pt>
                <c:pt idx="15">
                  <c:v>2.5061912998683128E-2</c:v>
                </c:pt>
                <c:pt idx="16">
                  <c:v>2.0947810612195143E-2</c:v>
                </c:pt>
                <c:pt idx="17">
                  <c:v>1.211555353178447E-2</c:v>
                </c:pt>
                <c:pt idx="18">
                  <c:v>6.1656953185687154E-3</c:v>
                </c:pt>
                <c:pt idx="19">
                  <c:v>0</c:v>
                </c:pt>
                <c:pt idx="20">
                  <c:v>0</c:v>
                </c:pt>
                <c:pt idx="21">
                  <c:v>0.10295373573760551</c:v>
                </c:pt>
                <c:pt idx="22">
                  <c:v>9.7384098482104359E-2</c:v>
                </c:pt>
                <c:pt idx="23">
                  <c:v>9.1119773854417607E-2</c:v>
                </c:pt>
                <c:pt idx="24">
                  <c:v>8.5029241183290805E-2</c:v>
                </c:pt>
                <c:pt idx="25">
                  <c:v>7.8935469243683026E-2</c:v>
                </c:pt>
                <c:pt idx="26">
                  <c:v>7.365640138516126E-2</c:v>
                </c:pt>
                <c:pt idx="27">
                  <c:v>6.8750457227916908E-2</c:v>
                </c:pt>
                <c:pt idx="28">
                  <c:v>6.6618991221702825E-2</c:v>
                </c:pt>
                <c:pt idx="29">
                  <c:v>6.2513433401544583E-2</c:v>
                </c:pt>
                <c:pt idx="30">
                  <c:v>5.8370696953186023E-2</c:v>
                </c:pt>
                <c:pt idx="31">
                  <c:v>5.3383574810284704E-2</c:v>
                </c:pt>
                <c:pt idx="32">
                  <c:v>4.8209172046381879E-2</c:v>
                </c:pt>
                <c:pt idx="33">
                  <c:v>4.388211746589725E-2</c:v>
                </c:pt>
                <c:pt idx="34">
                  <c:v>3.9715305701372022E-2</c:v>
                </c:pt>
                <c:pt idx="35">
                  <c:v>3.6976060917677252E-2</c:v>
                </c:pt>
                <c:pt idx="36">
                  <c:v>3.5635405375701507E-2</c:v>
                </c:pt>
                <c:pt idx="37">
                  <c:v>3.5523779477934794E-2</c:v>
                </c:pt>
                <c:pt idx="38">
                  <c:v>3.5226193806304117E-2</c:v>
                </c:pt>
                <c:pt idx="39">
                  <c:v>3.3857951339221995E-2</c:v>
                </c:pt>
                <c:pt idx="40">
                  <c:v>3.0321412687101548E-2</c:v>
                </c:pt>
                <c:pt idx="41">
                  <c:v>2.393122571785055E-2</c:v>
                </c:pt>
                <c:pt idx="42">
                  <c:v>1.9662776276315439E-2</c:v>
                </c:pt>
                <c:pt idx="43">
                  <c:v>1.5299858706252801E-2</c:v>
                </c:pt>
                <c:pt idx="44">
                  <c:v>1.0516591200713046E-2</c:v>
                </c:pt>
                <c:pt idx="45">
                  <c:v>6.8637596276757947E-3</c:v>
                </c:pt>
                <c:pt idx="46">
                  <c:v>3.9662310232191399E-3</c:v>
                </c:pt>
                <c:pt idx="47">
                  <c:v>0</c:v>
                </c:pt>
                <c:pt idx="48">
                  <c:v>7.4207817095027898E-2</c:v>
                </c:pt>
                <c:pt idx="49">
                  <c:v>6.9464313025957222E-2</c:v>
                </c:pt>
                <c:pt idx="50">
                  <c:v>6.7370804328883122E-2</c:v>
                </c:pt>
                <c:pt idx="51">
                  <c:v>6.5243011393046127E-2</c:v>
                </c:pt>
                <c:pt idx="52">
                  <c:v>6.3428675999940301E-2</c:v>
                </c:pt>
                <c:pt idx="53">
                  <c:v>6.1796985172175849E-2</c:v>
                </c:pt>
                <c:pt idx="54">
                  <c:v>5.9104856947519997E-2</c:v>
                </c:pt>
                <c:pt idx="55">
                  <c:v>5.8196211004810462E-2</c:v>
                </c:pt>
                <c:pt idx="56">
                  <c:v>5.6113790950385427E-2</c:v>
                </c:pt>
                <c:pt idx="57">
                  <c:v>5.4094065103071139E-2</c:v>
                </c:pt>
                <c:pt idx="58">
                  <c:v>5.1294555010340581E-2</c:v>
                </c:pt>
                <c:pt idx="59">
                  <c:v>4.9185265943524806E-2</c:v>
                </c:pt>
                <c:pt idx="60">
                  <c:v>4.4514782029652214E-2</c:v>
                </c:pt>
                <c:pt idx="61">
                  <c:v>4.0760483638469687E-2</c:v>
                </c:pt>
                <c:pt idx="62">
                  <c:v>3.9347462649658112E-2</c:v>
                </c:pt>
                <c:pt idx="63">
                  <c:v>3.7901441301607157E-2</c:v>
                </c:pt>
                <c:pt idx="64">
                  <c:v>3.6273647477829733E-2</c:v>
                </c:pt>
                <c:pt idx="65">
                  <c:v>3.5913505587842863E-2</c:v>
                </c:pt>
                <c:pt idx="66">
                  <c:v>3.5572828291522203E-2</c:v>
                </c:pt>
                <c:pt idx="67">
                  <c:v>3.5476355305118834E-2</c:v>
                </c:pt>
                <c:pt idx="68">
                  <c:v>3.5181183886979626E-2</c:v>
                </c:pt>
                <c:pt idx="69">
                  <c:v>3.3570192391140424E-2</c:v>
                </c:pt>
                <c:pt idx="70">
                  <c:v>3.2314009902321694E-2</c:v>
                </c:pt>
                <c:pt idx="71">
                  <c:v>3.0712796371942099E-2</c:v>
                </c:pt>
                <c:pt idx="72">
                  <c:v>2.8812484331526955E-2</c:v>
                </c:pt>
                <c:pt idx="73">
                  <c:v>2.6561055968586173E-2</c:v>
                </c:pt>
                <c:pt idx="74">
                  <c:v>2.2579396146075181E-2</c:v>
                </c:pt>
                <c:pt idx="75">
                  <c:v>1.8021315107936222E-2</c:v>
                </c:pt>
                <c:pt idx="76">
                  <c:v>1.3151214889189319E-2</c:v>
                </c:pt>
                <c:pt idx="77">
                  <c:v>8.2144746324887326E-3</c:v>
                </c:pt>
                <c:pt idx="78">
                  <c:v>3.5667666542620615E-3</c:v>
                </c:pt>
                <c:pt idx="79">
                  <c:v>0</c:v>
                </c:pt>
              </c:numCache>
            </c:numRef>
          </c:xVal>
          <c:yVal>
            <c:numRef>
              <c:f>Sheet1!$H$2:$H$81</c:f>
              <c:numCache>
                <c:formatCode>General</c:formatCode>
                <c:ptCount val="80"/>
                <c:pt idx="0">
                  <c:v>1.0126509678211132E-2</c:v>
                </c:pt>
                <c:pt idx="1">
                  <c:v>2.9509988732928056E-2</c:v>
                </c:pt>
                <c:pt idx="2">
                  <c:v>4.7211033278711033E-2</c:v>
                </c:pt>
                <c:pt idx="3">
                  <c:v>5.9348996400917703E-2</c:v>
                </c:pt>
                <c:pt idx="4">
                  <c:v>7.1007773021767084E-2</c:v>
                </c:pt>
                <c:pt idx="5">
                  <c:v>7.0969427725843165E-2</c:v>
                </c:pt>
                <c:pt idx="6">
                  <c:v>7.2563152667564745E-2</c:v>
                </c:pt>
                <c:pt idx="7">
                  <c:v>7.2183313282625949E-2</c:v>
                </c:pt>
                <c:pt idx="8">
                  <c:v>6.957183467311169E-2</c:v>
                </c:pt>
                <c:pt idx="9">
                  <c:v>7.1136736396170616E-2</c:v>
                </c:pt>
                <c:pt idx="10">
                  <c:v>7.4797292077780533E-2</c:v>
                </c:pt>
                <c:pt idx="11">
                  <c:v>7.9903224990307067E-2</c:v>
                </c:pt>
                <c:pt idx="12">
                  <c:v>8.4473335289884349E-2</c:v>
                </c:pt>
                <c:pt idx="13">
                  <c:v>8.9887218484972484E-2</c:v>
                </c:pt>
                <c:pt idx="14">
                  <c:v>8.3505771891729266E-2</c:v>
                </c:pt>
                <c:pt idx="15">
                  <c:v>7.8004226620942793E-2</c:v>
                </c:pt>
                <c:pt idx="16">
                  <c:v>6.9132035199185676E-2</c:v>
                </c:pt>
                <c:pt idx="17">
                  <c:v>4.2918112672515572E-2</c:v>
                </c:pt>
                <c:pt idx="18">
                  <c:v>2.2951324469524442E-2</c:v>
                </c:pt>
                <c:pt idx="19">
                  <c:v>0</c:v>
                </c:pt>
                <c:pt idx="20">
                  <c:v>0</c:v>
                </c:pt>
                <c:pt idx="21">
                  <c:v>3.7606875750479324E-3</c:v>
                </c:pt>
                <c:pt idx="22">
                  <c:v>1.6696902641364097E-2</c:v>
                </c:pt>
                <c:pt idx="23">
                  <c:v>2.7919574743824151E-2</c:v>
                </c:pt>
                <c:pt idx="24">
                  <c:v>3.7400815942232275E-2</c:v>
                </c:pt>
                <c:pt idx="25">
                  <c:v>4.6415428775732771E-2</c:v>
                </c:pt>
                <c:pt idx="26">
                  <c:v>5.4222272912421057E-2</c:v>
                </c:pt>
                <c:pt idx="27">
                  <c:v>5.9789146425481388E-2</c:v>
                </c:pt>
                <c:pt idx="28">
                  <c:v>6.575150314437761E-2</c:v>
                </c:pt>
                <c:pt idx="29">
                  <c:v>7.1236046237497325E-2</c:v>
                </c:pt>
                <c:pt idx="30">
                  <c:v>7.4051428430417662E-2</c:v>
                </c:pt>
                <c:pt idx="31">
                  <c:v>7.5555186942269745E-2</c:v>
                </c:pt>
                <c:pt idx="32">
                  <c:v>7.5304532384994877E-2</c:v>
                </c:pt>
                <c:pt idx="33">
                  <c:v>7.4854213672984185E-2</c:v>
                </c:pt>
                <c:pt idx="34">
                  <c:v>7.3223091568822868E-2</c:v>
                </c:pt>
                <c:pt idx="35">
                  <c:v>7.3104545925776754E-2</c:v>
                </c:pt>
                <c:pt idx="36">
                  <c:v>7.573723464259266E-2</c:v>
                </c:pt>
                <c:pt idx="37">
                  <c:v>7.8573279767014212E-2</c:v>
                </c:pt>
                <c:pt idx="38">
                  <c:v>8.354576249952983E-2</c:v>
                </c:pt>
                <c:pt idx="39">
                  <c:v>8.9836366098431028E-2</c:v>
                </c:pt>
                <c:pt idx="40">
                  <c:v>8.8992392796280864E-2</c:v>
                </c:pt>
                <c:pt idx="41">
                  <c:v>7.6977914354274424E-2</c:v>
                </c:pt>
                <c:pt idx="42">
                  <c:v>6.6167490631093409E-2</c:v>
                </c:pt>
                <c:pt idx="43">
                  <c:v>5.3703309002524804E-2</c:v>
                </c:pt>
                <c:pt idx="44">
                  <c:v>3.8622898672178656E-2</c:v>
                </c:pt>
                <c:pt idx="45">
                  <c:v>2.5966808747222004E-2</c:v>
                </c:pt>
                <c:pt idx="46">
                  <c:v>1.538373170683823E-2</c:v>
                </c:pt>
                <c:pt idx="47">
                  <c:v>0</c:v>
                </c:pt>
                <c:pt idx="48">
                  <c:v>1.788634150326355E-3</c:v>
                </c:pt>
                <c:pt idx="49">
                  <c:v>1.4426575640680322E-2</c:v>
                </c:pt>
                <c:pt idx="50">
                  <c:v>1.9500349953840396E-2</c:v>
                </c:pt>
                <c:pt idx="51">
                  <c:v>2.5528270592261766E-2</c:v>
                </c:pt>
                <c:pt idx="52">
                  <c:v>3.0641515522207112E-2</c:v>
                </c:pt>
                <c:pt idx="53">
                  <c:v>3.5525620555784961E-2</c:v>
                </c:pt>
                <c:pt idx="54">
                  <c:v>4.4829424904700543E-2</c:v>
                </c:pt>
                <c:pt idx="55">
                  <c:v>4.81466193093869E-2</c:v>
                </c:pt>
                <c:pt idx="56">
                  <c:v>5.6726096946797602E-2</c:v>
                </c:pt>
                <c:pt idx="57">
                  <c:v>6.4615813263384392E-2</c:v>
                </c:pt>
                <c:pt idx="58">
                  <c:v>7.0689275914682312E-2</c:v>
                </c:pt>
                <c:pt idx="59">
                  <c:v>7.3049629059462523E-2</c:v>
                </c:pt>
                <c:pt idx="60">
                  <c:v>7.4627041639211883E-2</c:v>
                </c:pt>
                <c:pt idx="61">
                  <c:v>7.5817273845126307E-2</c:v>
                </c:pt>
                <c:pt idx="62">
                  <c:v>7.6669390075570817E-2</c:v>
                </c:pt>
                <c:pt idx="63">
                  <c:v>7.7748364190348834E-2</c:v>
                </c:pt>
                <c:pt idx="64">
                  <c:v>8.1068346306082201E-2</c:v>
                </c:pt>
                <c:pt idx="65">
                  <c:v>8.3233238222759368E-2</c:v>
                </c:pt>
                <c:pt idx="66">
                  <c:v>8.5759864457375656E-2</c:v>
                </c:pt>
                <c:pt idx="67">
                  <c:v>8.7154896937952614E-2</c:v>
                </c:pt>
                <c:pt idx="68">
                  <c:v>9.2618638284547847E-2</c:v>
                </c:pt>
                <c:pt idx="69">
                  <c:v>9.4539789341706967E-2</c:v>
                </c:pt>
                <c:pt idx="70">
                  <c:v>9.3652187637341844E-2</c:v>
                </c:pt>
                <c:pt idx="71">
                  <c:v>9.2131602573664359E-2</c:v>
                </c:pt>
                <c:pt idx="72">
                  <c:v>8.9051872719259434E-2</c:v>
                </c:pt>
                <c:pt idx="73">
                  <c:v>8.4757418204445586E-2</c:v>
                </c:pt>
                <c:pt idx="74">
                  <c:v>7.6024930371127522E-2</c:v>
                </c:pt>
                <c:pt idx="75">
                  <c:v>6.4124642536701193E-2</c:v>
                </c:pt>
                <c:pt idx="76">
                  <c:v>4.9310854931549915E-2</c:v>
                </c:pt>
                <c:pt idx="77">
                  <c:v>3.2308822868818081E-2</c:v>
                </c:pt>
                <c:pt idx="78">
                  <c:v>1.4652851411225356E-2</c:v>
                </c:pt>
                <c:pt idx="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23-4115-9997-902E8F936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780912"/>
        <c:axId val="710534848"/>
      </c:scatterChart>
      <c:valAx>
        <c:axId val="71678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Sheet1!$I$1</c:f>
              <c:strCache>
                <c:ptCount val="1"/>
                <c:pt idx="0">
                  <c:v>C_H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34848"/>
        <c:crosses val="autoZero"/>
        <c:crossBetween val="midCat"/>
      </c:valAx>
      <c:valAx>
        <c:axId val="7105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Sheet1!$H$1</c:f>
              <c:strCache>
                <c:ptCount val="1"/>
                <c:pt idx="0">
                  <c:v>C_P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78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Sheet1!$F$2</c:f>
              <c:strCache>
                <c:ptCount val="1"/>
                <c:pt idx="0">
                  <c:v>2900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Sheet1!$L$2:$L$22</c:f>
              <c:numCache>
                <c:formatCode>General</c:formatCode>
                <c:ptCount val="21"/>
                <c:pt idx="0">
                  <c:v>2.7149945806358315E-5</c:v>
                </c:pt>
                <c:pt idx="1">
                  <c:v>2.2676131511230973E-5</c:v>
                </c:pt>
                <c:pt idx="2">
                  <c:v>1.9064216748802668E-5</c:v>
                </c:pt>
                <c:pt idx="3">
                  <c:v>1.6730887039660553E-5</c:v>
                </c:pt>
                <c:pt idx="4">
                  <c:v>1.4710213196247355E-5</c:v>
                </c:pt>
                <c:pt idx="5">
                  <c:v>1.3941803810449395E-5</c:v>
                </c:pt>
                <c:pt idx="6">
                  <c:v>1.33665389124473E-5</c:v>
                </c:pt>
                <c:pt idx="7">
                  <c:v>1.3386559326398833E-5</c:v>
                </c:pt>
                <c:pt idx="8">
                  <c:v>1.33665389124473E-5</c:v>
                </c:pt>
                <c:pt idx="9">
                  <c:v>1.2402777908549162E-5</c:v>
                </c:pt>
                <c:pt idx="10">
                  <c:v>1.0829763360738032E-5</c:v>
                </c:pt>
                <c:pt idx="11">
                  <c:v>9.0660678930714572E-6</c:v>
                </c:pt>
                <c:pt idx="12">
                  <c:v>7.805827812815921E-6</c:v>
                </c:pt>
                <c:pt idx="13">
                  <c:v>7.0838436480183347E-6</c:v>
                </c:pt>
                <c:pt idx="14">
                  <c:v>6.473944426731357E-6</c:v>
                </c:pt>
                <c:pt idx="15">
                  <c:v>6.0071567847878471E-6</c:v>
                </c:pt>
                <c:pt idx="16">
                  <c:v>5.7301892692772607E-6</c:v>
                </c:pt>
                <c:pt idx="17">
                  <c:v>6.0641364804436152E-6</c:v>
                </c:pt>
                <c:pt idx="18">
                  <c:v>6.3836485205691435E-6</c:v>
                </c:pt>
                <c:pt idx="19">
                  <c:v>6.758012131225949E-6</c:v>
                </c:pt>
                <c:pt idx="20">
                  <c:v>6.9449474996605568E-6</c:v>
                </c:pt>
              </c:numCache>
            </c:numRef>
          </c:xVal>
          <c:yVal>
            <c:numRef>
              <c:f>Sheet1!$G$2:$G$22</c:f>
              <c:numCache>
                <c:formatCode>General</c:formatCode>
                <c:ptCount val="21"/>
                <c:pt idx="0">
                  <c:v>0.12226032333689105</c:v>
                </c:pt>
                <c:pt idx="1">
                  <c:v>0.40691271212651742</c:v>
                </c:pt>
                <c:pt idx="2">
                  <c:v>0.72655174788893107</c:v>
                </c:pt>
                <c:pt idx="3">
                  <c:v>1.084457428777831</c:v>
                </c:pt>
                <c:pt idx="4">
                  <c:v>1.3914266677504668</c:v>
                </c:pt>
                <c:pt idx="5">
                  <c:v>1.5821810701793038</c:v>
                </c:pt>
                <c:pt idx="6">
                  <c:v>1.8760946302264327</c:v>
                </c:pt>
                <c:pt idx="7">
                  <c:v>2.1169493966107864</c:v>
                </c:pt>
                <c:pt idx="8">
                  <c:v>2.2540018684839662</c:v>
                </c:pt>
                <c:pt idx="9">
                  <c:v>2.4459139173199906</c:v>
                </c:pt>
                <c:pt idx="10">
                  <c:v>2.5717758072570223</c:v>
                </c:pt>
                <c:pt idx="11">
                  <c:v>2.7515325688175745</c:v>
                </c:pt>
                <c:pt idx="12">
                  <c:v>2.955342650171918</c:v>
                </c:pt>
                <c:pt idx="13">
                  <c:v>3.2650773777839475</c:v>
                </c:pt>
                <c:pt idx="14">
                  <c:v>3.5490866296806916</c:v>
                </c:pt>
                <c:pt idx="15">
                  <c:v>3.7349531917236245</c:v>
                </c:pt>
                <c:pt idx="16">
                  <c:v>3.960244045300231</c:v>
                </c:pt>
                <c:pt idx="17">
                  <c:v>4.2508776071936607</c:v>
                </c:pt>
                <c:pt idx="18">
                  <c:v>4.4669072895127648</c:v>
                </c:pt>
                <c:pt idx="19">
                  <c:v>4.6557322812629556</c:v>
                </c:pt>
                <c:pt idx="20">
                  <c:v>4.7489228170415743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D1-46D7-B871-444EDD95229B}"/>
            </c:ext>
          </c:extLst>
        </c:ser>
        <c:ser>
          <c:idx val="1"/>
          <c:order val="1"/>
          <c:tx>
            <c:strRef>
              <c:f>Sheet1!$F$23</c:f>
              <c:strCache>
                <c:ptCount val="1"/>
                <c:pt idx="0">
                  <c:v>6225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Sheet1!$L$23:$L$49</c:f>
              <c:numCache>
                <c:formatCode>General</c:formatCode>
                <c:ptCount val="27"/>
                <c:pt idx="0">
                  <c:v>1.9881305253462672E-5</c:v>
                </c:pt>
                <c:pt idx="1">
                  <c:v>1.819888972525335E-5</c:v>
                </c:pt>
                <c:pt idx="2">
                  <c:v>1.6857566960589467E-5</c:v>
                </c:pt>
                <c:pt idx="3">
                  <c:v>1.4982865931975825E-5</c:v>
                </c:pt>
                <c:pt idx="4">
                  <c:v>1.3960304573144198E-5</c:v>
                </c:pt>
                <c:pt idx="5">
                  <c:v>1.2629754055235299E-5</c:v>
                </c:pt>
                <c:pt idx="6">
                  <c:v>1.2119784378703093E-5</c:v>
                </c:pt>
                <c:pt idx="7">
                  <c:v>1.1192958497292472E-5</c:v>
                </c:pt>
                <c:pt idx="8">
                  <c:v>1.0520706217341489E-5</c:v>
                </c:pt>
                <c:pt idx="9">
                  <c:v>1.0036791292781792E-5</c:v>
                </c:pt>
                <c:pt idx="10">
                  <c:v>9.6304125830892643E-6</c:v>
                </c:pt>
                <c:pt idx="11">
                  <c:v>9.5740324123910611E-6</c:v>
                </c:pt>
                <c:pt idx="12">
                  <c:v>9.4895341586688672E-6</c:v>
                </c:pt>
                <c:pt idx="13">
                  <c:v>9.3507165733138663E-6</c:v>
                </c:pt>
                <c:pt idx="14">
                  <c:v>9.1768766332831034E-6</c:v>
                </c:pt>
                <c:pt idx="15">
                  <c:v>8.1179223605867952E-6</c:v>
                </c:pt>
                <c:pt idx="16">
                  <c:v>7.1202442774447808E-6</c:v>
                </c:pt>
                <c:pt idx="17">
                  <c:v>6.1177946228493617E-6</c:v>
                </c:pt>
                <c:pt idx="18">
                  <c:v>5.1873421383063045E-6</c:v>
                </c:pt>
                <c:pt idx="19">
                  <c:v>4.7205749063161436E-6</c:v>
                </c:pt>
                <c:pt idx="20">
                  <c:v>4.5034453142073009E-6</c:v>
                </c:pt>
                <c:pt idx="21">
                  <c:v>4.331066912974155E-6</c:v>
                </c:pt>
                <c:pt idx="22">
                  <c:v>4.5034453142073009E-6</c:v>
                </c:pt>
                <c:pt idx="23">
                  <c:v>4.6456329508642611E-6</c:v>
                </c:pt>
                <c:pt idx="24">
                  <c:v>4.6456329508642611E-6</c:v>
                </c:pt>
                <c:pt idx="25">
                  <c:v>4.78900062178725E-6</c:v>
                </c:pt>
                <c:pt idx="26">
                  <c:v>4.9135444976611181E-6</c:v>
                </c:pt>
              </c:numCache>
            </c:numRef>
          </c:xVal>
          <c:yVal>
            <c:numRef>
              <c:f>Sheet1!$G$23:$G$49</c:f>
              <c:numCache>
                <c:formatCode>General</c:formatCode>
                <c:ptCount val="27"/>
                <c:pt idx="0">
                  <c:v>4.3833524424593907E-2</c:v>
                </c:pt>
                <c:pt idx="1">
                  <c:v>0.20574491607907475</c:v>
                </c:pt>
                <c:pt idx="2">
                  <c:v>0.36768626913097502</c:v>
                </c:pt>
                <c:pt idx="3">
                  <c:v>0.52782993833771075</c:v>
                </c:pt>
                <c:pt idx="4">
                  <c:v>0.70562087062447787</c:v>
                </c:pt>
                <c:pt idx="5">
                  <c:v>0.88338184151382548</c:v>
                </c:pt>
                <c:pt idx="6">
                  <c:v>1.0435854335154002</c:v>
                </c:pt>
                <c:pt idx="7">
                  <c:v>1.1843740399891982</c:v>
                </c:pt>
                <c:pt idx="8">
                  <c:v>1.367438178221781</c:v>
                </c:pt>
                <c:pt idx="9">
                  <c:v>1.5223685642775397</c:v>
                </c:pt>
                <c:pt idx="10">
                  <c:v>1.6983917741165622</c:v>
                </c:pt>
                <c:pt idx="11">
                  <c:v>1.8744449453530032</c:v>
                </c:pt>
                <c:pt idx="12">
                  <c:v>2.0469626716939548</c:v>
                </c:pt>
                <c:pt idx="13">
                  <c:v>2.2124394696413452</c:v>
                </c:pt>
                <c:pt idx="14">
                  <c:v>2.3724932546558226</c:v>
                </c:pt>
                <c:pt idx="15">
                  <c:v>2.5504040325322674</c:v>
                </c:pt>
                <c:pt idx="16">
                  <c:v>2.6542202745905161</c:v>
                </c:pt>
                <c:pt idx="17">
                  <c:v>2.846033140869566</c:v>
                </c:pt>
                <c:pt idx="18">
                  <c:v>3.1839977037604883</c:v>
                </c:pt>
                <c:pt idx="19">
                  <c:v>3.5219622666514105</c:v>
                </c:pt>
                <c:pt idx="20">
                  <c:v>3.8599567909397527</c:v>
                </c:pt>
                <c:pt idx="21">
                  <c:v>4.0381372213929714</c:v>
                </c:pt>
                <c:pt idx="22">
                  <c:v>4.2120631334126344</c:v>
                </c:pt>
                <c:pt idx="23">
                  <c:v>4.4070818692155616</c:v>
                </c:pt>
                <c:pt idx="24">
                  <c:v>4.5398108597835396</c:v>
                </c:pt>
                <c:pt idx="25">
                  <c:v>4.6544132049127747</c:v>
                </c:pt>
                <c:pt idx="26">
                  <c:v>4.812309769313055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D1-46D7-B871-444EDD95229B}"/>
            </c:ext>
          </c:extLst>
        </c:ser>
        <c:ser>
          <c:idx val="2"/>
          <c:order val="2"/>
          <c:tx>
            <c:strRef>
              <c:f>Sheet1!$F$50</c:f>
              <c:strCache>
                <c:ptCount val="1"/>
                <c:pt idx="0">
                  <c:v>9550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Sheet1!$L$50:$L$81</c:f>
              <c:numCache>
                <c:formatCode>General</c:formatCode>
                <c:ptCount val="32"/>
                <c:pt idx="0">
                  <c:v>1.7068794352574322E-5</c:v>
                </c:pt>
                <c:pt idx="1">
                  <c:v>1.553291071873295E-5</c:v>
                </c:pt>
                <c:pt idx="2">
                  <c:v>1.4687667959583399E-5</c:v>
                </c:pt>
                <c:pt idx="3">
                  <c:v>1.4472809509573743E-5</c:v>
                </c:pt>
                <c:pt idx="4">
                  <c:v>1.4135228910279788E-5</c:v>
                </c:pt>
                <c:pt idx="5">
                  <c:v>1.3807111943525572E-5</c:v>
                </c:pt>
                <c:pt idx="6">
                  <c:v>1.2863313255579446E-5</c:v>
                </c:pt>
                <c:pt idx="7">
                  <c:v>1.227164677092833E-5</c:v>
                </c:pt>
                <c:pt idx="8">
                  <c:v>1.1705847069150192E-5</c:v>
                </c:pt>
                <c:pt idx="9">
                  <c:v>1.0906938039352384E-5</c:v>
                </c:pt>
                <c:pt idx="10">
                  <c:v>1.0162553524877757E-5</c:v>
                </c:pt>
                <c:pt idx="11">
                  <c:v>9.695112345480603E-6</c:v>
                </c:pt>
                <c:pt idx="12">
                  <c:v>9.4689722975759715E-6</c:v>
                </c:pt>
                <c:pt idx="13">
                  <c:v>9.4689722975759715E-6</c:v>
                </c:pt>
                <c:pt idx="14">
                  <c:v>9.1802148629170331E-6</c:v>
                </c:pt>
                <c:pt idx="15">
                  <c:v>9.248107002499753E-6</c:v>
                </c:pt>
                <c:pt idx="16">
                  <c:v>8.219640928430614E-6</c:v>
                </c:pt>
                <c:pt idx="17">
                  <c:v>7.4037687582412423E-6</c:v>
                </c:pt>
                <c:pt idx="18">
                  <c:v>6.8077381986872774E-6</c:v>
                </c:pt>
                <c:pt idx="19">
                  <c:v>6.3423885726335299E-6</c:v>
                </c:pt>
                <c:pt idx="20">
                  <c:v>5.1304191264382525E-6</c:v>
                </c:pt>
                <c:pt idx="21">
                  <c:v>4.4535142469970662E-6</c:v>
                </c:pt>
                <c:pt idx="22">
                  <c:v>4.260424230301143E-6</c:v>
                </c:pt>
                <c:pt idx="23">
                  <c:v>4.1495676188512225E-6</c:v>
                </c:pt>
                <c:pt idx="24">
                  <c:v>4.163924496841207E-6</c:v>
                </c:pt>
                <c:pt idx="25">
                  <c:v>4.1495676188512225E-6</c:v>
                </c:pt>
                <c:pt idx="26">
                  <c:v>4.1495676188512225E-6</c:v>
                </c:pt>
                <c:pt idx="27">
                  <c:v>4.0527782896849675E-6</c:v>
                </c:pt>
                <c:pt idx="28">
                  <c:v>4.1495676188512225E-6</c:v>
                </c:pt>
                <c:pt idx="29">
                  <c:v>4.350136113158801E-6</c:v>
                </c:pt>
                <c:pt idx="30">
                  <c:v>4.4535142469970662E-6</c:v>
                </c:pt>
                <c:pt idx="31">
                  <c:v>4.5735438356101926E-6</c:v>
                </c:pt>
              </c:numCache>
            </c:numRef>
          </c:xVal>
          <c:yVal>
            <c:numRef>
              <c:f>Sheet1!$G$50:$G$81</c:f>
              <c:numCache>
                <c:formatCode>General</c:formatCode>
                <c:ptCount val="32"/>
                <c:pt idx="0">
                  <c:v>2.892365069360647E-2</c:v>
                </c:pt>
                <c:pt idx="1">
                  <c:v>0.24921992336334378</c:v>
                </c:pt>
                <c:pt idx="2">
                  <c:v>0.34733769587156721</c:v>
                </c:pt>
                <c:pt idx="3">
                  <c:v>0.46953572584448799</c:v>
                </c:pt>
                <c:pt idx="4">
                  <c:v>0.57970339199076348</c:v>
                </c:pt>
                <c:pt idx="5">
                  <c:v>0.68985152832563224</c:v>
                </c:pt>
                <c:pt idx="6">
                  <c:v>0.91016733080677659</c:v>
                </c:pt>
                <c:pt idx="7">
                  <c:v>0.9927784330579279</c:v>
                </c:pt>
                <c:pt idx="8">
                  <c:v>1.2130942355390721</c:v>
                </c:pt>
                <c:pt idx="9">
                  <c:v>1.4334100380202162</c:v>
                </c:pt>
                <c:pt idx="10">
                  <c:v>1.6537258405013606</c:v>
                </c:pt>
                <c:pt idx="11">
                  <c:v>1.7822319995587073</c:v>
                </c:pt>
                <c:pt idx="12">
                  <c:v>2.0117463432124976</c:v>
                </c:pt>
                <c:pt idx="13">
                  <c:v>2.2320816755050488</c:v>
                </c:pt>
                <c:pt idx="14">
                  <c:v>2.3382262005015044</c:v>
                </c:pt>
                <c:pt idx="15">
                  <c:v>2.4615960191588386</c:v>
                </c:pt>
                <c:pt idx="16">
                  <c:v>2.6818922918285759</c:v>
                </c:pt>
                <c:pt idx="17">
                  <c:v>2.7811232635869922</c:v>
                </c:pt>
                <c:pt idx="18">
                  <c:v>2.8929900233256673</c:v>
                </c:pt>
                <c:pt idx="19">
                  <c:v>2.9480445616816948</c:v>
                </c:pt>
                <c:pt idx="20">
                  <c:v>3.1591422931787863</c:v>
                </c:pt>
                <c:pt idx="21">
                  <c:v>3.3794190360371168</c:v>
                </c:pt>
                <c:pt idx="22">
                  <c:v>3.4778297557164435</c:v>
                </c:pt>
                <c:pt idx="23">
                  <c:v>3.5997348385182608</c:v>
                </c:pt>
                <c:pt idx="24">
                  <c:v>3.7088869544713781</c:v>
                </c:pt>
                <c:pt idx="25">
                  <c:v>3.8292491821720511</c:v>
                </c:pt>
                <c:pt idx="26">
                  <c:v>4.0404055031033623</c:v>
                </c:pt>
                <c:pt idx="27">
                  <c:v>4.2699198467571531</c:v>
                </c:pt>
                <c:pt idx="28">
                  <c:v>4.4994341904109429</c:v>
                </c:pt>
                <c:pt idx="29">
                  <c:v>4.7197890525149013</c:v>
                </c:pt>
                <c:pt idx="30">
                  <c:v>4.9297931145732061</c:v>
                </c:pt>
                <c:pt idx="31">
                  <c:v>5.0824381205294715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D1-46D7-B871-444EDD952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184624"/>
        <c:axId val="968150096"/>
      </c:scatterChart>
      <c:valAx>
        <c:axId val="10561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Sheet1!$G$1</c:f>
              <c:strCache>
                <c:ptCount val="1"/>
                <c:pt idx="0">
                  <c:v>C_F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50096"/>
        <c:crosses val="autoZero"/>
        <c:crossBetween val="midCat"/>
      </c:valAx>
      <c:valAx>
        <c:axId val="96815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Sheet1!$L$1</c:f>
              <c:strCache>
                <c:ptCount val="1"/>
                <c:pt idx="0">
                  <c:v>C_Psound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1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Sheet1!$F$23</c:f>
              <c:strCache>
                <c:ptCount val="1"/>
                <c:pt idx="0">
                  <c:v>6225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Sheet1!$G$23:$G$81</c:f>
              <c:numCache>
                <c:formatCode>General</c:formatCode>
                <c:ptCount val="59"/>
                <c:pt idx="0">
                  <c:v>4.3833524424593907E-2</c:v>
                </c:pt>
                <c:pt idx="1">
                  <c:v>0.20574491607907475</c:v>
                </c:pt>
                <c:pt idx="2">
                  <c:v>0.36768626913097502</c:v>
                </c:pt>
                <c:pt idx="3">
                  <c:v>0.52782993833771075</c:v>
                </c:pt>
                <c:pt idx="4">
                  <c:v>0.70562087062447787</c:v>
                </c:pt>
                <c:pt idx="5">
                  <c:v>0.88338184151382548</c:v>
                </c:pt>
                <c:pt idx="6">
                  <c:v>1.0435854335154002</c:v>
                </c:pt>
                <c:pt idx="7">
                  <c:v>1.1843740399891982</c:v>
                </c:pt>
                <c:pt idx="8">
                  <c:v>1.367438178221781</c:v>
                </c:pt>
                <c:pt idx="9">
                  <c:v>1.5223685642775397</c:v>
                </c:pt>
                <c:pt idx="10">
                  <c:v>1.6983917741165622</c:v>
                </c:pt>
                <c:pt idx="11">
                  <c:v>1.8744449453530032</c:v>
                </c:pt>
                <c:pt idx="12">
                  <c:v>2.0469626716939548</c:v>
                </c:pt>
                <c:pt idx="13">
                  <c:v>2.2124394696413452</c:v>
                </c:pt>
                <c:pt idx="14">
                  <c:v>2.3724932546558226</c:v>
                </c:pt>
                <c:pt idx="15">
                  <c:v>2.5504040325322674</c:v>
                </c:pt>
                <c:pt idx="16">
                  <c:v>2.6542202745905161</c:v>
                </c:pt>
                <c:pt idx="17">
                  <c:v>2.846033140869566</c:v>
                </c:pt>
                <c:pt idx="18">
                  <c:v>3.1839977037604883</c:v>
                </c:pt>
                <c:pt idx="19">
                  <c:v>3.5219622666514105</c:v>
                </c:pt>
                <c:pt idx="20">
                  <c:v>3.8599567909397527</c:v>
                </c:pt>
                <c:pt idx="21">
                  <c:v>4.0381372213929714</c:v>
                </c:pt>
                <c:pt idx="22">
                  <c:v>4.2120631334126344</c:v>
                </c:pt>
                <c:pt idx="23">
                  <c:v>4.4070818692155616</c:v>
                </c:pt>
                <c:pt idx="24">
                  <c:v>4.5398108597835396</c:v>
                </c:pt>
                <c:pt idx="25">
                  <c:v>4.6544132049127747</c:v>
                </c:pt>
                <c:pt idx="26">
                  <c:v>4.812309769313055</c:v>
                </c:pt>
                <c:pt idx="27">
                  <c:v>2.892365069360647E-2</c:v>
                </c:pt>
                <c:pt idx="28">
                  <c:v>0.24921992336334378</c:v>
                </c:pt>
                <c:pt idx="29">
                  <c:v>0.34733769587156721</c:v>
                </c:pt>
                <c:pt idx="30">
                  <c:v>0.46953572584448799</c:v>
                </c:pt>
                <c:pt idx="31">
                  <c:v>0.57970339199076348</c:v>
                </c:pt>
                <c:pt idx="32">
                  <c:v>0.68985152832563224</c:v>
                </c:pt>
                <c:pt idx="33">
                  <c:v>0.91016733080677659</c:v>
                </c:pt>
                <c:pt idx="34">
                  <c:v>0.9927784330579279</c:v>
                </c:pt>
                <c:pt idx="35">
                  <c:v>1.2130942355390721</c:v>
                </c:pt>
                <c:pt idx="36">
                  <c:v>1.4334100380202162</c:v>
                </c:pt>
                <c:pt idx="37">
                  <c:v>1.6537258405013606</c:v>
                </c:pt>
                <c:pt idx="38">
                  <c:v>1.7822319995587073</c:v>
                </c:pt>
                <c:pt idx="39">
                  <c:v>2.0117463432124976</c:v>
                </c:pt>
                <c:pt idx="40">
                  <c:v>2.2320816755050488</c:v>
                </c:pt>
                <c:pt idx="41">
                  <c:v>2.3382262005015044</c:v>
                </c:pt>
                <c:pt idx="42">
                  <c:v>2.4615960191588386</c:v>
                </c:pt>
                <c:pt idx="43">
                  <c:v>2.6818922918285759</c:v>
                </c:pt>
                <c:pt idx="44">
                  <c:v>2.7811232635869922</c:v>
                </c:pt>
                <c:pt idx="45">
                  <c:v>2.8929900233256673</c:v>
                </c:pt>
                <c:pt idx="46">
                  <c:v>2.9480445616816948</c:v>
                </c:pt>
                <c:pt idx="47">
                  <c:v>3.1591422931787863</c:v>
                </c:pt>
                <c:pt idx="48">
                  <c:v>3.3794190360371168</c:v>
                </c:pt>
                <c:pt idx="49">
                  <c:v>3.4778297557164435</c:v>
                </c:pt>
                <c:pt idx="50">
                  <c:v>3.5997348385182608</c:v>
                </c:pt>
                <c:pt idx="51">
                  <c:v>3.7088869544713781</c:v>
                </c:pt>
                <c:pt idx="52">
                  <c:v>3.8292491821720511</c:v>
                </c:pt>
                <c:pt idx="53">
                  <c:v>4.0404055031033623</c:v>
                </c:pt>
                <c:pt idx="54">
                  <c:v>4.2699198467571531</c:v>
                </c:pt>
                <c:pt idx="55">
                  <c:v>4.4994341904109429</c:v>
                </c:pt>
                <c:pt idx="56">
                  <c:v>4.7197890525149013</c:v>
                </c:pt>
                <c:pt idx="57">
                  <c:v>4.9297931145732061</c:v>
                </c:pt>
                <c:pt idx="58">
                  <c:v>5.0824381205294715</c:v>
                </c:pt>
              </c:numCache>
            </c:numRef>
          </c:xVal>
          <c:yVal>
            <c:numRef>
              <c:f>Sheet1!$L$23:$L$81</c:f>
              <c:numCache>
                <c:formatCode>General</c:formatCode>
                <c:ptCount val="59"/>
                <c:pt idx="0">
                  <c:v>1.9881305253462672E-5</c:v>
                </c:pt>
                <c:pt idx="1">
                  <c:v>1.819888972525335E-5</c:v>
                </c:pt>
                <c:pt idx="2">
                  <c:v>1.6857566960589467E-5</c:v>
                </c:pt>
                <c:pt idx="3">
                  <c:v>1.4982865931975825E-5</c:v>
                </c:pt>
                <c:pt idx="4">
                  <c:v>1.3960304573144198E-5</c:v>
                </c:pt>
                <c:pt idx="5">
                  <c:v>1.2629754055235299E-5</c:v>
                </c:pt>
                <c:pt idx="6">
                  <c:v>1.2119784378703093E-5</c:v>
                </c:pt>
                <c:pt idx="7">
                  <c:v>1.1192958497292472E-5</c:v>
                </c:pt>
                <c:pt idx="8">
                  <c:v>1.0520706217341489E-5</c:v>
                </c:pt>
                <c:pt idx="9">
                  <c:v>1.0036791292781792E-5</c:v>
                </c:pt>
                <c:pt idx="10">
                  <c:v>9.6304125830892643E-6</c:v>
                </c:pt>
                <c:pt idx="11">
                  <c:v>9.5740324123910611E-6</c:v>
                </c:pt>
                <c:pt idx="12">
                  <c:v>9.4895341586688672E-6</c:v>
                </c:pt>
                <c:pt idx="13">
                  <c:v>9.3507165733138663E-6</c:v>
                </c:pt>
                <c:pt idx="14">
                  <c:v>9.1768766332831034E-6</c:v>
                </c:pt>
                <c:pt idx="15">
                  <c:v>8.1179223605867952E-6</c:v>
                </c:pt>
                <c:pt idx="16">
                  <c:v>7.1202442774447808E-6</c:v>
                </c:pt>
                <c:pt idx="17">
                  <c:v>6.1177946228493617E-6</c:v>
                </c:pt>
                <c:pt idx="18">
                  <c:v>5.1873421383063045E-6</c:v>
                </c:pt>
                <c:pt idx="19">
                  <c:v>4.7205749063161436E-6</c:v>
                </c:pt>
                <c:pt idx="20">
                  <c:v>4.5034453142073009E-6</c:v>
                </c:pt>
                <c:pt idx="21">
                  <c:v>4.331066912974155E-6</c:v>
                </c:pt>
                <c:pt idx="22">
                  <c:v>4.5034453142073009E-6</c:v>
                </c:pt>
                <c:pt idx="23">
                  <c:v>4.6456329508642611E-6</c:v>
                </c:pt>
                <c:pt idx="24">
                  <c:v>4.6456329508642611E-6</c:v>
                </c:pt>
                <c:pt idx="25">
                  <c:v>4.78900062178725E-6</c:v>
                </c:pt>
                <c:pt idx="26">
                  <c:v>4.9135444976611181E-6</c:v>
                </c:pt>
                <c:pt idx="27">
                  <c:v>1.7068794352574322E-5</c:v>
                </c:pt>
                <c:pt idx="28">
                  <c:v>1.553291071873295E-5</c:v>
                </c:pt>
                <c:pt idx="29">
                  <c:v>1.4687667959583399E-5</c:v>
                </c:pt>
                <c:pt idx="30">
                  <c:v>1.4472809509573743E-5</c:v>
                </c:pt>
                <c:pt idx="31">
                  <c:v>1.4135228910279788E-5</c:v>
                </c:pt>
                <c:pt idx="32">
                  <c:v>1.3807111943525572E-5</c:v>
                </c:pt>
                <c:pt idx="33">
                  <c:v>1.2863313255579446E-5</c:v>
                </c:pt>
                <c:pt idx="34">
                  <c:v>1.227164677092833E-5</c:v>
                </c:pt>
                <c:pt idx="35">
                  <c:v>1.1705847069150192E-5</c:v>
                </c:pt>
                <c:pt idx="36">
                  <c:v>1.0906938039352384E-5</c:v>
                </c:pt>
                <c:pt idx="37">
                  <c:v>1.0162553524877757E-5</c:v>
                </c:pt>
                <c:pt idx="38">
                  <c:v>9.695112345480603E-6</c:v>
                </c:pt>
                <c:pt idx="39">
                  <c:v>9.4689722975759715E-6</c:v>
                </c:pt>
                <c:pt idx="40">
                  <c:v>9.4689722975759715E-6</c:v>
                </c:pt>
                <c:pt idx="41">
                  <c:v>9.1802148629170331E-6</c:v>
                </c:pt>
                <c:pt idx="42">
                  <c:v>9.248107002499753E-6</c:v>
                </c:pt>
                <c:pt idx="43">
                  <c:v>8.219640928430614E-6</c:v>
                </c:pt>
                <c:pt idx="44">
                  <c:v>7.4037687582412423E-6</c:v>
                </c:pt>
                <c:pt idx="45">
                  <c:v>6.8077381986872774E-6</c:v>
                </c:pt>
                <c:pt idx="46">
                  <c:v>6.3423885726335299E-6</c:v>
                </c:pt>
                <c:pt idx="47">
                  <c:v>5.1304191264382525E-6</c:v>
                </c:pt>
                <c:pt idx="48">
                  <c:v>4.4535142469970662E-6</c:v>
                </c:pt>
                <c:pt idx="49">
                  <c:v>4.260424230301143E-6</c:v>
                </c:pt>
                <c:pt idx="50">
                  <c:v>4.1495676188512225E-6</c:v>
                </c:pt>
                <c:pt idx="51">
                  <c:v>4.163924496841207E-6</c:v>
                </c:pt>
                <c:pt idx="52">
                  <c:v>4.1495676188512225E-6</c:v>
                </c:pt>
                <c:pt idx="53">
                  <c:v>4.1495676188512225E-6</c:v>
                </c:pt>
                <c:pt idx="54">
                  <c:v>4.0527782896849675E-6</c:v>
                </c:pt>
                <c:pt idx="55">
                  <c:v>4.1495676188512225E-6</c:v>
                </c:pt>
                <c:pt idx="56">
                  <c:v>4.350136113158801E-6</c:v>
                </c:pt>
                <c:pt idx="57">
                  <c:v>4.4535142469970662E-6</c:v>
                </c:pt>
                <c:pt idx="58">
                  <c:v>4.5735438356101926E-6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E5-4F83-B235-8962D653E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184624"/>
        <c:axId val="968150096"/>
      </c:scatterChart>
      <c:valAx>
        <c:axId val="10561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Sheet1!$G$1</c:f>
              <c:strCache>
                <c:ptCount val="1"/>
                <c:pt idx="0">
                  <c:v>C_F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50096"/>
        <c:crosses val="autoZero"/>
        <c:crossBetween val="midCat"/>
      </c:valAx>
      <c:valAx>
        <c:axId val="96815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Sheet1!$L$1</c:f>
              <c:strCache>
                <c:ptCount val="1"/>
                <c:pt idx="0">
                  <c:v>C_Psound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1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Sheet1!$G$82:$G$161</c:f>
              <c:numCache>
                <c:formatCode>General</c:formatCode>
                <c:ptCount val="80"/>
                <c:pt idx="0">
                  <c:v>6.8946418706606213E-2</c:v>
                </c:pt>
                <c:pt idx="1">
                  <c:v>1.0191511648849374</c:v>
                </c:pt>
                <c:pt idx="2">
                  <c:v>2.0519797076918351</c:v>
                </c:pt>
                <c:pt idx="3">
                  <c:v>2.5995100138677416</c:v>
                </c:pt>
                <c:pt idx="4">
                  <c:v>2.9610279803049959</c:v>
                </c:pt>
                <c:pt idx="5">
                  <c:v>3.1676185568262336</c:v>
                </c:pt>
                <c:pt idx="6">
                  <c:v>4.1180098127035007</c:v>
                </c:pt>
                <c:pt idx="7">
                  <c:v>4.7170789656853378</c:v>
                </c:pt>
                <c:pt idx="8">
                  <c:v>5.1508383555103974</c:v>
                </c:pt>
                <c:pt idx="9">
                  <c:v>5.6346445145499011</c:v>
                </c:pt>
                <c:pt idx="10">
                  <c:v>6.101229611387665</c:v>
                </c:pt>
                <c:pt idx="11">
                  <c:v>6.5196330360003429</c:v>
                </c:pt>
                <c:pt idx="12">
                  <c:v>7.0515586973652864</c:v>
                </c:pt>
                <c:pt idx="13">
                  <c:v>7.443975103926241</c:v>
                </c:pt>
                <c:pt idx="14">
                  <c:v>7.8829567653215058</c:v>
                </c:pt>
                <c:pt idx="15">
                  <c:v>8.0843872401721839</c:v>
                </c:pt>
                <c:pt idx="16">
                  <c:v>8.2238964949761737</c:v>
                </c:pt>
                <c:pt idx="17">
                  <c:v>8.5182709697965358</c:v>
                </c:pt>
                <c:pt idx="18">
                  <c:v>8.8178055462874525</c:v>
                </c:pt>
                <c:pt idx="19">
                  <c:v>9.0347163261498054</c:v>
                </c:pt>
                <c:pt idx="20">
                  <c:v>9.282525546135858</c:v>
                </c:pt>
                <c:pt idx="21">
                  <c:v>9.6853243259375734</c:v>
                </c:pt>
                <c:pt idx="22">
                  <c:v>10.026077545893306</c:v>
                </c:pt>
                <c:pt idx="23">
                  <c:v>10.330710054155137</c:v>
                </c:pt>
                <c:pt idx="24">
                  <c:v>10.594061749052509</c:v>
                </c:pt>
                <c:pt idx="25">
                  <c:v>11.017500935536454</c:v>
                </c:pt>
                <c:pt idx="26">
                  <c:v>11.167330393681558</c:v>
                </c:pt>
                <c:pt idx="27">
                  <c:v>11.533946291889723</c:v>
                </c:pt>
                <c:pt idx="28">
                  <c:v>2.9813292784437066E-2</c:v>
                </c:pt>
                <c:pt idx="29">
                  <c:v>0.48048854712206956</c:v>
                </c:pt>
                <c:pt idx="30">
                  <c:v>0.93116380145970223</c:v>
                </c:pt>
                <c:pt idx="31">
                  <c:v>1.3818390557973346</c:v>
                </c:pt>
                <c:pt idx="32">
                  <c:v>1.4381593330668923</c:v>
                </c:pt>
                <c:pt idx="33">
                  <c:v>1.8888628464498178</c:v>
                </c:pt>
                <c:pt idx="34">
                  <c:v>2.3395663598327436</c:v>
                </c:pt>
                <c:pt idx="35">
                  <c:v>2.7902698732156694</c:v>
                </c:pt>
                <c:pt idx="36">
                  <c:v>3.2410016456438888</c:v>
                </c:pt>
                <c:pt idx="37">
                  <c:v>3.6729976710426464</c:v>
                </c:pt>
                <c:pt idx="38">
                  <c:v>4.1049654373961113</c:v>
                </c:pt>
                <c:pt idx="39">
                  <c:v>4.5556689507790367</c:v>
                </c:pt>
                <c:pt idx="40">
                  <c:v>5.0063724641619629</c:v>
                </c:pt>
                <c:pt idx="41">
                  <c:v>5.4570477184995951</c:v>
                </c:pt>
                <c:pt idx="42">
                  <c:v>5.9076947137919342</c:v>
                </c:pt>
                <c:pt idx="43">
                  <c:v>6.3770774561137351</c:v>
                </c:pt>
                <c:pt idx="44">
                  <c:v>6.8277527104513673</c:v>
                </c:pt>
                <c:pt idx="45">
                  <c:v>7.0906183497696933</c:v>
                </c:pt>
                <c:pt idx="46">
                  <c:v>7.5413218631526204</c:v>
                </c:pt>
                <c:pt idx="47">
                  <c:v>8.0107893826102998</c:v>
                </c:pt>
                <c:pt idx="48">
                  <c:v>8.4614363779026398</c:v>
                </c:pt>
                <c:pt idx="49">
                  <c:v>8.9308473792697338</c:v>
                </c:pt>
                <c:pt idx="50">
                  <c:v>3.0810670853612547E-2</c:v>
                </c:pt>
                <c:pt idx="51">
                  <c:v>0.33456548641456901</c:v>
                </c:pt>
                <c:pt idx="52">
                  <c:v>0.62617888628009588</c:v>
                </c:pt>
                <c:pt idx="53">
                  <c:v>0.9299337018410524</c:v>
                </c:pt>
                <c:pt idx="54">
                  <c:v>1.2336885174020089</c:v>
                </c:pt>
                <c:pt idx="55">
                  <c:v>1.5131970721013095</c:v>
                </c:pt>
                <c:pt idx="56">
                  <c:v>1.7926873415360085</c:v>
                </c:pt>
                <c:pt idx="57">
                  <c:v>2.0843190266661371</c:v>
                </c:pt>
                <c:pt idx="58">
                  <c:v>2.3880921274916949</c:v>
                </c:pt>
                <c:pt idx="59">
                  <c:v>2.6797238126218232</c:v>
                </c:pt>
                <c:pt idx="60">
                  <c:v>2.9713554977519521</c:v>
                </c:pt>
                <c:pt idx="61">
                  <c:v>3.2629688976174789</c:v>
                </c:pt>
                <c:pt idx="62">
                  <c:v>3.5546005827476073</c:v>
                </c:pt>
                <c:pt idx="63">
                  <c:v>3.8462688384069388</c:v>
                </c:pt>
                <c:pt idx="64">
                  <c:v>4.137863953007864</c:v>
                </c:pt>
                <c:pt idx="65">
                  <c:v>4.4416187685688202</c:v>
                </c:pt>
                <c:pt idx="66">
                  <c:v>4.5874620390307879</c:v>
                </c:pt>
                <c:pt idx="67">
                  <c:v>4.8791120094255174</c:v>
                </c:pt>
                <c:pt idx="68">
                  <c:v>5.1707619798202478</c:v>
                </c:pt>
                <c:pt idx="69">
                  <c:v>5.4502705345195483</c:v>
                </c:pt>
                <c:pt idx="70">
                  <c:v>5.7540253500805045</c:v>
                </c:pt>
                <c:pt idx="71">
                  <c:v>6.0577618803768596</c:v>
                </c:pt>
                <c:pt idx="72">
                  <c:v>6.3493387097131828</c:v>
                </c:pt>
                <c:pt idx="73">
                  <c:v>6.6530752400095379</c:v>
                </c:pt>
                <c:pt idx="74">
                  <c:v>6.9568300555704941</c:v>
                </c:pt>
              </c:numCache>
            </c:numRef>
          </c:xVal>
          <c:yVal>
            <c:numRef>
              <c:f>Sheet1!$I$82:$I$161</c:f>
              <c:numCache>
                <c:formatCode>General</c:formatCode>
                <c:ptCount val="80"/>
                <c:pt idx="0">
                  <c:v>0.17778642823319882</c:v>
                </c:pt>
                <c:pt idx="1">
                  <c:v>0.16146845748791333</c:v>
                </c:pt>
                <c:pt idx="2">
                  <c:v>0.14709066618011959</c:v>
                </c:pt>
                <c:pt idx="3">
                  <c:v>0.13947616538059168</c:v>
                </c:pt>
                <c:pt idx="4">
                  <c:v>0.1345035667430223</c:v>
                </c:pt>
                <c:pt idx="5">
                  <c:v>0.13446573088262334</c:v>
                </c:pt>
                <c:pt idx="6">
                  <c:v>0.12878177774512045</c:v>
                </c:pt>
                <c:pt idx="7">
                  <c:v>0.1218556027905793</c:v>
                </c:pt>
                <c:pt idx="8">
                  <c:v>0.11668729509570203</c:v>
                </c:pt>
                <c:pt idx="9">
                  <c:v>0.11482803241469486</c:v>
                </c:pt>
                <c:pt idx="10">
                  <c:v>0.11303495011953182</c:v>
                </c:pt>
                <c:pt idx="11">
                  <c:v>0.11070255467862981</c:v>
                </c:pt>
                <c:pt idx="12">
                  <c:v>0.1075128125369892</c:v>
                </c:pt>
                <c:pt idx="13">
                  <c:v>0.10303929091280592</c:v>
                </c:pt>
                <c:pt idx="14">
                  <c:v>9.6934757809948521E-2</c:v>
                </c:pt>
                <c:pt idx="15">
                  <c:v>9.4133640793483714E-2</c:v>
                </c:pt>
                <c:pt idx="16">
                  <c:v>9.1525734726372432E-2</c:v>
                </c:pt>
                <c:pt idx="17">
                  <c:v>8.3874894746606282E-2</c:v>
                </c:pt>
                <c:pt idx="18">
                  <c:v>7.6089942893910842E-2</c:v>
                </c:pt>
                <c:pt idx="19">
                  <c:v>7.0452396813783277E-2</c:v>
                </c:pt>
                <c:pt idx="20">
                  <c:v>6.4455087377041712E-2</c:v>
                </c:pt>
                <c:pt idx="21">
                  <c:v>5.4862186302646263E-2</c:v>
                </c:pt>
                <c:pt idx="22">
                  <c:v>4.6535115190274499E-2</c:v>
                </c:pt>
                <c:pt idx="23">
                  <c:v>3.7553092682478979E-2</c:v>
                </c:pt>
                <c:pt idx="24">
                  <c:v>2.9788225877780586E-2</c:v>
                </c:pt>
                <c:pt idx="25">
                  <c:v>1.6840352513739474E-2</c:v>
                </c:pt>
                <c:pt idx="26">
                  <c:v>1.1989292638294657E-2</c:v>
                </c:pt>
                <c:pt idx="27">
                  <c:v>0</c:v>
                </c:pt>
                <c:pt idx="28">
                  <c:v>0.10205387815214806</c:v>
                </c:pt>
                <c:pt idx="29">
                  <c:v>9.8906413062308407E-2</c:v>
                </c:pt>
                <c:pt idx="30">
                  <c:v>9.4290641564759942E-2</c:v>
                </c:pt>
                <c:pt idx="31">
                  <c:v>9.0568924969293918E-2</c:v>
                </c:pt>
                <c:pt idx="32">
                  <c:v>8.9961380552223802E-2</c:v>
                </c:pt>
                <c:pt idx="33">
                  <c:v>8.5771348608779746E-2</c:v>
                </c:pt>
                <c:pt idx="34">
                  <c:v>8.2839438069076607E-2</c:v>
                </c:pt>
                <c:pt idx="35">
                  <c:v>8.0395660439030597E-2</c:v>
                </c:pt>
                <c:pt idx="36">
                  <c:v>7.7753913562823282E-2</c:v>
                </c:pt>
                <c:pt idx="37">
                  <c:v>7.3371081951626088E-2</c:v>
                </c:pt>
                <c:pt idx="38">
                  <c:v>7.1124778274922376E-2</c:v>
                </c:pt>
                <c:pt idx="39">
                  <c:v>6.9900353998962939E-2</c:v>
                </c:pt>
                <c:pt idx="40">
                  <c:v>6.8675842874298093E-2</c:v>
                </c:pt>
                <c:pt idx="41">
                  <c:v>6.5913409576346615E-2</c:v>
                </c:pt>
                <c:pt idx="42">
                  <c:v>6.0355878856754329E-2</c:v>
                </c:pt>
                <c:pt idx="43">
                  <c:v>5.3244259788374708E-2</c:v>
                </c:pt>
                <c:pt idx="44">
                  <c:v>4.5954537552899494E-2</c:v>
                </c:pt>
                <c:pt idx="45">
                  <c:v>4.158836438435759E-2</c:v>
                </c:pt>
                <c:pt idx="46">
                  <c:v>3.3485461038148666E-2</c:v>
                </c:pt>
                <c:pt idx="47">
                  <c:v>2.4304805881014184E-2</c:v>
                </c:pt>
                <c:pt idx="48">
                  <c:v>1.3591036544346027E-2</c:v>
                </c:pt>
                <c:pt idx="49">
                  <c:v>0</c:v>
                </c:pt>
                <c:pt idx="50">
                  <c:v>6.6930623008511297E-2</c:v>
                </c:pt>
                <c:pt idx="51">
                  <c:v>6.3813283216783215E-2</c:v>
                </c:pt>
                <c:pt idx="52">
                  <c:v>6.1044618202123292E-2</c:v>
                </c:pt>
                <c:pt idx="53">
                  <c:v>5.8255901002799967E-2</c:v>
                </c:pt>
                <c:pt idx="54">
                  <c:v>5.5933968202665219E-2</c:v>
                </c:pt>
                <c:pt idx="55">
                  <c:v>5.3828470417861332E-2</c:v>
                </c:pt>
                <c:pt idx="56">
                  <c:v>5.1925692333437981E-2</c:v>
                </c:pt>
                <c:pt idx="57">
                  <c:v>5.0376975196681308E-2</c:v>
                </c:pt>
                <c:pt idx="58">
                  <c:v>4.9323991134663278E-2</c:v>
                </c:pt>
                <c:pt idx="59">
                  <c:v>4.7537874830390729E-2</c:v>
                </c:pt>
                <c:pt idx="60">
                  <c:v>4.5348811122412389E-2</c:v>
                </c:pt>
                <c:pt idx="61">
                  <c:v>4.4284819843420538E-2</c:v>
                </c:pt>
                <c:pt idx="62">
                  <c:v>4.4027824411817129E-2</c:v>
                </c:pt>
                <c:pt idx="63">
                  <c:v>4.3857406869070012E-2</c:v>
                </c:pt>
                <c:pt idx="64">
                  <c:v>4.3177281449806662E-2</c:v>
                </c:pt>
                <c:pt idx="65">
                  <c:v>4.1250754318939702E-2</c:v>
                </c:pt>
                <c:pt idx="66">
                  <c:v>4.0191133177981016E-2</c:v>
                </c:pt>
                <c:pt idx="67">
                  <c:v>3.6778957014309679E-2</c:v>
                </c:pt>
                <c:pt idx="68">
                  <c:v>3.2573326100274622E-2</c:v>
                </c:pt>
                <c:pt idx="69">
                  <c:v>2.8661768489219065E-2</c:v>
                </c:pt>
                <c:pt idx="70">
                  <c:v>2.398788831283755E-2</c:v>
                </c:pt>
                <c:pt idx="71">
                  <c:v>1.8818719536106875E-2</c:v>
                </c:pt>
                <c:pt idx="72">
                  <c:v>1.3675396869431474E-2</c:v>
                </c:pt>
                <c:pt idx="73">
                  <c:v>8.1719257438568668E-3</c:v>
                </c:pt>
                <c:pt idx="74">
                  <c:v>3.0858494950220194E-3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8-42FE-9428-65338E8A7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780912"/>
        <c:axId val="710534848"/>
      </c:scatterChart>
      <c:valAx>
        <c:axId val="71678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Sheet1!$G$1</c:f>
              <c:strCache>
                <c:ptCount val="1"/>
                <c:pt idx="0">
                  <c:v>C_F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34848"/>
        <c:crosses val="autoZero"/>
        <c:crossBetween val="midCat"/>
      </c:valAx>
      <c:valAx>
        <c:axId val="7105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Sheet1!$I$1</c:f>
              <c:strCache>
                <c:ptCount val="1"/>
                <c:pt idx="0">
                  <c:v>C_H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78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Sheet1!$F$110</c:f>
              <c:strCache>
                <c:ptCount val="1"/>
                <c:pt idx="0">
                  <c:v>6600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Sheet1!$L$110:$L$131</c:f>
              <c:numCache>
                <c:formatCode>General</c:formatCode>
                <c:ptCount val="22"/>
                <c:pt idx="0">
                  <c:v>3.0390031770857899E-5</c:v>
                </c:pt>
                <c:pt idx="1">
                  <c:v>2.9531204027683673E-5</c:v>
                </c:pt>
                <c:pt idx="2">
                  <c:v>2.8293140361885433E-5</c:v>
                </c:pt>
                <c:pt idx="3">
                  <c:v>2.7888885168562035E-5</c:v>
                </c:pt>
                <c:pt idx="4">
                  <c:v>2.7888885168562035E-5</c:v>
                </c:pt>
                <c:pt idx="5">
                  <c:v>2.6337900588682705E-5</c:v>
                </c:pt>
                <c:pt idx="6">
                  <c:v>2.4873170914744746E-5</c:v>
                </c:pt>
                <c:pt idx="7">
                  <c:v>2.3492603782911233E-5</c:v>
                </c:pt>
                <c:pt idx="8">
                  <c:v>2.1253533999970153E-5</c:v>
                </c:pt>
                <c:pt idx="9">
                  <c:v>1.8686637210097134E-5</c:v>
                </c:pt>
                <c:pt idx="10">
                  <c:v>1.7150672505840746E-5</c:v>
                </c:pt>
                <c:pt idx="11">
                  <c:v>1.6196872150238692E-5</c:v>
                </c:pt>
                <c:pt idx="12">
                  <c:v>1.5079299048632729E-5</c:v>
                </c:pt>
                <c:pt idx="13">
                  <c:v>1.4653155355587786E-5</c:v>
                </c:pt>
                <c:pt idx="14">
                  <c:v>1.4653155355587786E-5</c:v>
                </c:pt>
                <c:pt idx="15">
                  <c:v>1.5079299048632729E-5</c:v>
                </c:pt>
                <c:pt idx="16">
                  <c:v>1.4863844529476621E-5</c:v>
                </c:pt>
                <c:pt idx="17">
                  <c:v>1.4653155355587786E-5</c:v>
                </c:pt>
                <c:pt idx="18">
                  <c:v>1.4038837726748692E-5</c:v>
                </c:pt>
                <c:pt idx="19">
                  <c:v>1.3448726266548305E-5</c:v>
                </c:pt>
                <c:pt idx="20">
                  <c:v>1.3258095839720519E-5</c:v>
                </c:pt>
                <c:pt idx="21">
                  <c:v>1.3258095839720519E-5</c:v>
                </c:pt>
              </c:numCache>
            </c:numRef>
          </c:xVal>
          <c:yVal>
            <c:numRef>
              <c:f>Sheet1!$G$110:$G$131</c:f>
              <c:numCache>
                <c:formatCode>General</c:formatCode>
                <c:ptCount val="22"/>
                <c:pt idx="0">
                  <c:v>2.9813292784437066E-2</c:v>
                </c:pt>
                <c:pt idx="1">
                  <c:v>0.48048854712206956</c:v>
                </c:pt>
                <c:pt idx="2">
                  <c:v>0.93116380145970223</c:v>
                </c:pt>
                <c:pt idx="3">
                  <c:v>1.3818390557973346</c:v>
                </c:pt>
                <c:pt idx="4">
                  <c:v>1.4381593330668923</c:v>
                </c:pt>
                <c:pt idx="5">
                  <c:v>1.8888628464498178</c:v>
                </c:pt>
                <c:pt idx="6">
                  <c:v>2.3395663598327436</c:v>
                </c:pt>
                <c:pt idx="7">
                  <c:v>2.7902698732156694</c:v>
                </c:pt>
                <c:pt idx="8">
                  <c:v>3.2410016456438888</c:v>
                </c:pt>
                <c:pt idx="9">
                  <c:v>3.6729976710426464</c:v>
                </c:pt>
                <c:pt idx="10">
                  <c:v>4.1049654373961113</c:v>
                </c:pt>
                <c:pt idx="11">
                  <c:v>4.5556689507790367</c:v>
                </c:pt>
                <c:pt idx="12">
                  <c:v>5.0063724641619629</c:v>
                </c:pt>
                <c:pt idx="13">
                  <c:v>5.4570477184995951</c:v>
                </c:pt>
                <c:pt idx="14">
                  <c:v>5.9076947137919342</c:v>
                </c:pt>
                <c:pt idx="15">
                  <c:v>6.3770774561137351</c:v>
                </c:pt>
                <c:pt idx="16">
                  <c:v>6.8277527104513673</c:v>
                </c:pt>
                <c:pt idx="17">
                  <c:v>7.0906183497696933</c:v>
                </c:pt>
                <c:pt idx="18">
                  <c:v>7.5413218631526204</c:v>
                </c:pt>
                <c:pt idx="19">
                  <c:v>8.0107893826102998</c:v>
                </c:pt>
                <c:pt idx="20">
                  <c:v>8.4614363779026398</c:v>
                </c:pt>
                <c:pt idx="21">
                  <c:v>8.9308473792697338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E63-B400-C1A879C01195}"/>
            </c:ext>
          </c:extLst>
        </c:ser>
        <c:ser>
          <c:idx val="1"/>
          <c:order val="1"/>
          <c:tx>
            <c:strRef>
              <c:f>Sheet1!$F$132</c:f>
              <c:strCache>
                <c:ptCount val="1"/>
                <c:pt idx="0">
                  <c:v>10200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Sheet1!$L$132:$L$156</c:f>
              <c:numCache>
                <c:formatCode>General</c:formatCode>
                <c:ptCount val="25"/>
                <c:pt idx="0">
                  <c:v>2.1772707863785678E-5</c:v>
                </c:pt>
                <c:pt idx="1">
                  <c:v>2.1157407238289837E-5</c:v>
                </c:pt>
                <c:pt idx="2">
                  <c:v>2.0270405911162488E-5</c:v>
                </c:pt>
                <c:pt idx="3">
                  <c:v>1.9980780342719101E-5</c:v>
                </c:pt>
                <c:pt idx="4">
                  <c:v>1.9418355402144979E-5</c:v>
                </c:pt>
                <c:pt idx="5">
                  <c:v>1.7822246472696439E-5</c:v>
                </c:pt>
                <c:pt idx="6">
                  <c:v>1.6355448032123247E-5</c:v>
                </c:pt>
                <c:pt idx="7">
                  <c:v>1.5669763631059169E-5</c:v>
                </c:pt>
                <c:pt idx="8">
                  <c:v>1.5011097488084909E-5</c:v>
                </c:pt>
                <c:pt idx="9">
                  <c:v>1.4176285318635772E-5</c:v>
                </c:pt>
                <c:pt idx="10">
                  <c:v>1.3198131326566066E-5</c:v>
                </c:pt>
                <c:pt idx="11">
                  <c:v>1.2826626405351228E-5</c:v>
                </c:pt>
                <c:pt idx="12">
                  <c:v>1.1940223207156237E-5</c:v>
                </c:pt>
                <c:pt idx="13">
                  <c:v>1.0803449481463732E-5</c:v>
                </c:pt>
                <c:pt idx="14">
                  <c:v>1.0650314816883159E-5</c:v>
                </c:pt>
                <c:pt idx="15">
                  <c:v>1.0349335011819249E-5</c:v>
                </c:pt>
                <c:pt idx="16">
                  <c:v>9.6352379737347902E-6</c:v>
                </c:pt>
                <c:pt idx="17">
                  <c:v>8.9704131429195798E-6</c:v>
                </c:pt>
                <c:pt idx="18">
                  <c:v>8.1154469929596812E-6</c:v>
                </c:pt>
                <c:pt idx="19">
                  <c:v>7.4483906360398741E-6</c:v>
                </c:pt>
                <c:pt idx="20">
                  <c:v>7.2387311237989505E-6</c:v>
                </c:pt>
                <c:pt idx="21">
                  <c:v>7.3428126163830709E-6</c:v>
                </c:pt>
                <c:pt idx="22">
                  <c:v>7.4483906360398741E-6</c:v>
                </c:pt>
                <c:pt idx="23">
                  <c:v>7.6650050522429295E-6</c:v>
                </c:pt>
                <c:pt idx="24">
                  <c:v>7.4483906360398741E-6</c:v>
                </c:pt>
              </c:numCache>
            </c:numRef>
          </c:xVal>
          <c:yVal>
            <c:numRef>
              <c:f>Sheet1!$G$132:$G$156</c:f>
              <c:numCache>
                <c:formatCode>General</c:formatCode>
                <c:ptCount val="25"/>
                <c:pt idx="0">
                  <c:v>3.0810670853612547E-2</c:v>
                </c:pt>
                <c:pt idx="1">
                  <c:v>0.33456548641456901</c:v>
                </c:pt>
                <c:pt idx="2">
                  <c:v>0.62617888628009588</c:v>
                </c:pt>
                <c:pt idx="3">
                  <c:v>0.9299337018410524</c:v>
                </c:pt>
                <c:pt idx="4">
                  <c:v>1.2336885174020089</c:v>
                </c:pt>
                <c:pt idx="5">
                  <c:v>1.5131970721013095</c:v>
                </c:pt>
                <c:pt idx="6">
                  <c:v>1.7926873415360085</c:v>
                </c:pt>
                <c:pt idx="7">
                  <c:v>2.0843190266661371</c:v>
                </c:pt>
                <c:pt idx="8">
                  <c:v>2.3880921274916949</c:v>
                </c:pt>
                <c:pt idx="9">
                  <c:v>2.6797238126218232</c:v>
                </c:pt>
                <c:pt idx="10">
                  <c:v>2.9713554977519521</c:v>
                </c:pt>
                <c:pt idx="11">
                  <c:v>3.2629688976174789</c:v>
                </c:pt>
                <c:pt idx="12">
                  <c:v>3.5546005827476073</c:v>
                </c:pt>
                <c:pt idx="13">
                  <c:v>3.8462688384069388</c:v>
                </c:pt>
                <c:pt idx="14">
                  <c:v>4.137863953007864</c:v>
                </c:pt>
                <c:pt idx="15">
                  <c:v>4.4416187685688202</c:v>
                </c:pt>
                <c:pt idx="16">
                  <c:v>4.5874620390307879</c:v>
                </c:pt>
                <c:pt idx="17">
                  <c:v>4.8791120094255174</c:v>
                </c:pt>
                <c:pt idx="18">
                  <c:v>5.1707619798202478</c:v>
                </c:pt>
                <c:pt idx="19">
                  <c:v>5.4502705345195483</c:v>
                </c:pt>
                <c:pt idx="20">
                  <c:v>5.7540253500805045</c:v>
                </c:pt>
                <c:pt idx="21">
                  <c:v>6.0577618803768596</c:v>
                </c:pt>
                <c:pt idx="22">
                  <c:v>6.3493387097131828</c:v>
                </c:pt>
                <c:pt idx="23">
                  <c:v>6.6530752400095379</c:v>
                </c:pt>
                <c:pt idx="24">
                  <c:v>6.9568300555704941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E63-B400-C1A879C01195}"/>
            </c:ext>
          </c:extLst>
        </c:ser>
        <c:ser>
          <c:idx val="2"/>
          <c:order val="2"/>
          <c:tx>
            <c:strRef>
              <c:f>Sheet1!$F$82</c:f>
              <c:strCache>
                <c:ptCount val="1"/>
                <c:pt idx="0">
                  <c:v>3000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Sheet1!$L$82:$L$109</c:f>
              <c:numCache>
                <c:formatCode>General</c:formatCode>
                <c:ptCount val="28"/>
                <c:pt idx="0">
                  <c:v>7.2077413996771673E-5</c:v>
                </c:pt>
                <c:pt idx="1">
                  <c:v>6.9047696804438793E-5</c:v>
                </c:pt>
                <c:pt idx="2">
                  <c:v>6.7104121723490215E-5</c:v>
                </c:pt>
                <c:pt idx="3">
                  <c:v>6.0820389428703617E-5</c:v>
                </c:pt>
                <c:pt idx="4">
                  <c:v>5.9847938654561485E-5</c:v>
                </c:pt>
                <c:pt idx="5">
                  <c:v>5.8999617567168962E-5</c:v>
                </c:pt>
                <c:pt idx="6">
                  <c:v>5.187393536593531E-5</c:v>
                </c:pt>
                <c:pt idx="7">
                  <c:v>5.1021027037362141E-5</c:v>
                </c:pt>
                <c:pt idx="8">
                  <c:v>4.8989070181689231E-5</c:v>
                </c:pt>
                <c:pt idx="9">
                  <c:v>4.5793010600032835E-5</c:v>
                </c:pt>
                <c:pt idx="10">
                  <c:v>4.3072412416048019E-5</c:v>
                </c:pt>
                <c:pt idx="11">
                  <c:v>4.0639578652612231E-5</c:v>
                </c:pt>
                <c:pt idx="12">
                  <c:v>3.8414854852011839E-5</c:v>
                </c:pt>
                <c:pt idx="13">
                  <c:v>3.9039046030174542E-5</c:v>
                </c:pt>
                <c:pt idx="14">
                  <c:v>3.8414854852011839E-5</c:v>
                </c:pt>
                <c:pt idx="15">
                  <c:v>3.7333542106127115E-5</c:v>
                </c:pt>
                <c:pt idx="16">
                  <c:v>3.5636840770168624E-5</c:v>
                </c:pt>
                <c:pt idx="17">
                  <c:v>3.4757553232567585E-5</c:v>
                </c:pt>
                <c:pt idx="18">
                  <c:v>3.4264878530377043E-5</c:v>
                </c:pt>
                <c:pt idx="19">
                  <c:v>3.3296546923478167E-5</c:v>
                </c:pt>
                <c:pt idx="20">
                  <c:v>3.4017249594699594E-5</c:v>
                </c:pt>
                <c:pt idx="21">
                  <c:v>3.347720537247773E-5</c:v>
                </c:pt>
                <c:pt idx="22">
                  <c:v>3.4264878530377043E-5</c:v>
                </c:pt>
                <c:pt idx="23">
                  <c:v>3.4387388607691621E-5</c:v>
                </c:pt>
                <c:pt idx="24">
                  <c:v>3.4264878530377043E-5</c:v>
                </c:pt>
                <c:pt idx="25">
                  <c:v>3.3775298550306643E-5</c:v>
                </c:pt>
                <c:pt idx="26">
                  <c:v>3.3239095445904196E-5</c:v>
                </c:pt>
                <c:pt idx="27">
                  <c:v>3.2591113339160987E-5</c:v>
                </c:pt>
              </c:numCache>
            </c:numRef>
          </c:xVal>
          <c:yVal>
            <c:numRef>
              <c:f>Sheet1!$G$82:$G$109</c:f>
              <c:numCache>
                <c:formatCode>General</c:formatCode>
                <c:ptCount val="28"/>
                <c:pt idx="0">
                  <c:v>6.8946418706606213E-2</c:v>
                </c:pt>
                <c:pt idx="1">
                  <c:v>1.0191511648849374</c:v>
                </c:pt>
                <c:pt idx="2">
                  <c:v>2.0519797076918351</c:v>
                </c:pt>
                <c:pt idx="3">
                  <c:v>2.5995100138677416</c:v>
                </c:pt>
                <c:pt idx="4">
                  <c:v>2.9610279803049959</c:v>
                </c:pt>
                <c:pt idx="5">
                  <c:v>3.1676185568262336</c:v>
                </c:pt>
                <c:pt idx="6">
                  <c:v>4.1180098127035007</c:v>
                </c:pt>
                <c:pt idx="7">
                  <c:v>4.7170789656853378</c:v>
                </c:pt>
                <c:pt idx="8">
                  <c:v>5.1508383555103974</c:v>
                </c:pt>
                <c:pt idx="9">
                  <c:v>5.6346445145499011</c:v>
                </c:pt>
                <c:pt idx="10">
                  <c:v>6.101229611387665</c:v>
                </c:pt>
                <c:pt idx="11">
                  <c:v>6.5196330360003429</c:v>
                </c:pt>
                <c:pt idx="12">
                  <c:v>7.0515586973652864</c:v>
                </c:pt>
                <c:pt idx="13">
                  <c:v>7.443975103926241</c:v>
                </c:pt>
                <c:pt idx="14">
                  <c:v>7.8829567653215058</c:v>
                </c:pt>
                <c:pt idx="15">
                  <c:v>8.0843872401721839</c:v>
                </c:pt>
                <c:pt idx="16">
                  <c:v>8.2238964949761737</c:v>
                </c:pt>
                <c:pt idx="17">
                  <c:v>8.5182709697965358</c:v>
                </c:pt>
                <c:pt idx="18">
                  <c:v>8.8178055462874525</c:v>
                </c:pt>
                <c:pt idx="19">
                  <c:v>9.0347163261498054</c:v>
                </c:pt>
                <c:pt idx="20">
                  <c:v>9.282525546135858</c:v>
                </c:pt>
                <c:pt idx="21">
                  <c:v>9.6853243259375734</c:v>
                </c:pt>
                <c:pt idx="22">
                  <c:v>10.026077545893306</c:v>
                </c:pt>
                <c:pt idx="23">
                  <c:v>10.330710054155137</c:v>
                </c:pt>
                <c:pt idx="24">
                  <c:v>10.594061749052509</c:v>
                </c:pt>
                <c:pt idx="25">
                  <c:v>11.017500935536454</c:v>
                </c:pt>
                <c:pt idx="26">
                  <c:v>11.167330393681558</c:v>
                </c:pt>
                <c:pt idx="27">
                  <c:v>11.533946291889723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E63-B400-C1A879C01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184624"/>
        <c:axId val="968150096"/>
      </c:scatterChart>
      <c:valAx>
        <c:axId val="10561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Sheet1!$G$1</c:f>
              <c:strCache>
                <c:ptCount val="1"/>
                <c:pt idx="0">
                  <c:v>C_F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50096"/>
        <c:crosses val="autoZero"/>
        <c:crossBetween val="midCat"/>
      </c:valAx>
      <c:valAx>
        <c:axId val="96815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Sheet1!$L$1</c:f>
              <c:strCache>
                <c:ptCount val="1"/>
                <c:pt idx="0">
                  <c:v>C_Psound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1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2</xdr:row>
      <xdr:rowOff>0</xdr:rowOff>
    </xdr:from>
    <xdr:to>
      <xdr:col>27</xdr:col>
      <xdr:colOff>285750</xdr:colOff>
      <xdr:row>16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B94FFAB-1CF5-4825-82D3-058B116A12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18</xdr:row>
      <xdr:rowOff>0</xdr:rowOff>
    </xdr:from>
    <xdr:to>
      <xdr:col>27</xdr:col>
      <xdr:colOff>285750</xdr:colOff>
      <xdr:row>32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D1EB96D-B3AB-4FB6-AED2-D02981598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33</xdr:row>
      <xdr:rowOff>0</xdr:rowOff>
    </xdr:from>
    <xdr:to>
      <xdr:col>27</xdr:col>
      <xdr:colOff>285750</xdr:colOff>
      <xdr:row>47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9A862D-73C5-4BE7-B092-5AA1985DC8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517071</xdr:colOff>
      <xdr:row>18</xdr:row>
      <xdr:rowOff>13607</xdr:rowOff>
    </xdr:from>
    <xdr:to>
      <xdr:col>36</xdr:col>
      <xdr:colOff>381001</xdr:colOff>
      <xdr:row>33</xdr:row>
      <xdr:rowOff>13607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89E83AE-EF45-404C-B444-5EAF69CB78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0</xdr:colOff>
      <xdr:row>34</xdr:row>
      <xdr:rowOff>0</xdr:rowOff>
    </xdr:from>
    <xdr:to>
      <xdr:col>36</xdr:col>
      <xdr:colOff>476251</xdr:colOff>
      <xdr:row>49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A96F51E-8B62-4ED0-9967-2F189B85A1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244929</xdr:colOff>
      <xdr:row>62</xdr:row>
      <xdr:rowOff>122464</xdr:rowOff>
    </xdr:from>
    <xdr:to>
      <xdr:col>29</xdr:col>
      <xdr:colOff>530679</xdr:colOff>
      <xdr:row>77</xdr:row>
      <xdr:rowOff>8164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8428D6-C63C-45A4-9A21-4B2D89B50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517072</xdr:colOff>
      <xdr:row>61</xdr:row>
      <xdr:rowOff>27214</xdr:rowOff>
    </xdr:from>
    <xdr:to>
      <xdr:col>22</xdr:col>
      <xdr:colOff>381002</xdr:colOff>
      <xdr:row>76</xdr:row>
      <xdr:rowOff>27214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08EEEDC-41E2-43EA-AFDA-0AE95663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09AA-583B-432D-8F65-FE0125AF8EBE}">
  <sheetPr codeName="Sheet1"/>
  <dimension ref="A1:S156"/>
  <sheetViews>
    <sheetView tabSelected="1" topLeftCell="C1" zoomScale="70" zoomScaleNormal="70" workbookViewId="0">
      <pane ySplit="1" topLeftCell="A20" activePane="bottomLeft" state="frozen"/>
      <selection pane="bottomLeft" activeCell="AC72" sqref="AC72"/>
    </sheetView>
  </sheetViews>
  <sheetFormatPr defaultRowHeight="15" x14ac:dyDescent="0.25"/>
  <cols>
    <col min="1" max="1" width="20.140625" customWidth="1"/>
    <col min="7" max="7" width="14.85546875" bestFit="1" customWidth="1"/>
    <col min="12" max="13" width="14.85546875" bestFit="1" customWidth="1"/>
  </cols>
  <sheetData>
    <row r="1" spans="1:19" x14ac:dyDescent="0.25">
      <c r="A1" t="s">
        <v>0</v>
      </c>
      <c r="B1" t="s">
        <v>2</v>
      </c>
      <c r="C1" t="s">
        <v>1</v>
      </c>
      <c r="D1" t="s">
        <v>11</v>
      </c>
      <c r="E1" t="s">
        <v>3</v>
      </c>
      <c r="F1" t="s">
        <v>5</v>
      </c>
      <c r="G1" t="s">
        <v>13</v>
      </c>
      <c r="H1" t="s">
        <v>14</v>
      </c>
      <c r="I1" t="s">
        <v>15</v>
      </c>
      <c r="J1" t="s">
        <v>12</v>
      </c>
      <c r="K1" t="s">
        <v>8</v>
      </c>
      <c r="L1" t="s">
        <v>16</v>
      </c>
      <c r="M1" t="s">
        <v>9</v>
      </c>
    </row>
    <row r="2" spans="1:19" x14ac:dyDescent="0.25">
      <c r="A2" t="s">
        <v>4</v>
      </c>
      <c r="B2">
        <v>0</v>
      </c>
      <c r="C2">
        <v>1.1406000000000001</v>
      </c>
      <c r="D2" cm="1">
        <f t="array" ref="D2">+LinInterp(C2,Sheet2!$C$4:$C$24,Sheet2!$D$4:$D$24)</f>
        <v>58.666299342105262</v>
      </c>
      <c r="E2">
        <v>43.493000000000002</v>
      </c>
      <c r="F2">
        <f>+$R$3*B2+$S$3</f>
        <v>2900</v>
      </c>
      <c r="G2">
        <f>+(C2/60)/(((F2/60)*2*PI())*(($P$6/1000)^3))</f>
        <v>0.12226032333689105</v>
      </c>
      <c r="H2">
        <f>+((C2/60)*D2)/(1.2*(((F2/60)*2*PI())^3)*(($P$6/1000)^5))</f>
        <v>1.0126509678211132E-2</v>
      </c>
      <c r="I2">
        <f>+D2/((((F2/60)*2*PI())^2)*(($P$6/1000)^2))</f>
        <v>9.9392928811162795E-2</v>
      </c>
      <c r="J2">
        <f>+(10^(E2/20))*20*10^(-6)</f>
        <v>2.9900606367646411E-3</v>
      </c>
      <c r="K2">
        <f>+J2</f>
        <v>2.9900606367646411E-3</v>
      </c>
      <c r="L2">
        <f>+(J2)/(1.2*(((F2/60)*2*PI())^3)*(($P$6/1000)^5))</f>
        <v>2.7149945806358315E-5</v>
      </c>
      <c r="M2">
        <f>+J2/((((F2/60)*2*PI())^2)*(($P$6/1000)^2))</f>
        <v>5.0657854227002833E-6</v>
      </c>
      <c r="R2" t="s">
        <v>6</v>
      </c>
      <c r="S2" t="s">
        <v>7</v>
      </c>
    </row>
    <row r="3" spans="1:19" x14ac:dyDescent="0.25">
      <c r="A3" t="s">
        <v>4</v>
      </c>
      <c r="B3">
        <v>0</v>
      </c>
      <c r="C3">
        <v>3.7962000000000002</v>
      </c>
      <c r="D3" cm="1">
        <f t="array" ref="D3">+LinInterp(C3,Sheet2!$C$4:$C$24,Sheet2!$D$4:$D$24)</f>
        <v>51.366767657275183</v>
      </c>
      <c r="E3">
        <v>41.929000000000002</v>
      </c>
      <c r="F3">
        <f t="shared" ref="F3:F66" si="0">+$R$3*B3+$S$3</f>
        <v>2900</v>
      </c>
      <c r="G3">
        <f t="shared" ref="G3:G66" si="1">+(C3/60)/(((F3/60)*2*PI())*(($P$6/1000)^3))</f>
        <v>0.40691271212651742</v>
      </c>
      <c r="H3">
        <f t="shared" ref="H3:H66" si="2">+((C3/60)*D3)/(1.2*(((F3/60)*2*PI())^3)*(($P$6/1000)^5))</f>
        <v>2.9509988732928056E-2</v>
      </c>
      <c r="I3">
        <f t="shared" ref="I3:I66" si="3">+D3/((((F3/60)*2*PI())^2)*(($P$6/1000)^2))</f>
        <v>8.7026001951257204E-2</v>
      </c>
      <c r="J3">
        <f t="shared" ref="J3:J66" si="4">+(10^(E3/20))*20*10^(-6)</f>
        <v>2.4973533541990003E-3</v>
      </c>
      <c r="K3">
        <f t="shared" ref="K3:K66" si="5">+J3</f>
        <v>2.4973533541990003E-3</v>
      </c>
      <c r="L3">
        <f t="shared" ref="L3:L66" si="6">+(J3)/(1.2*(((F3/60)*2*PI())^3)*(($P$6/1000)^5))</f>
        <v>2.2676131511230973E-5</v>
      </c>
      <c r="M3">
        <f t="shared" ref="M3:M66" si="7">+J3/((((F3/60)*2*PI())^2)*(($P$6/1000)^2))</f>
        <v>4.2310366758053021E-6</v>
      </c>
      <c r="O3">
        <v>0</v>
      </c>
      <c r="P3">
        <v>2900</v>
      </c>
      <c r="R3">
        <f t="array" ref="R3:S3">+LINEST($P$3:$P$4,$O$3:$O$4)</f>
        <v>66.5</v>
      </c>
      <c r="S3">
        <v>2900</v>
      </c>
    </row>
    <row r="4" spans="1:19" x14ac:dyDescent="0.25">
      <c r="A4" t="s">
        <v>4</v>
      </c>
      <c r="B4">
        <v>0</v>
      </c>
      <c r="C4">
        <v>6.7782</v>
      </c>
      <c r="D4" cm="1">
        <f t="array" ref="D4">+LinInterp(C4,Sheet2!$C$4:$C$24,Sheet2!$D$4:$D$24)</f>
        <v>46.024746543778804</v>
      </c>
      <c r="E4">
        <v>40.421999999999997</v>
      </c>
      <c r="F4">
        <f t="shared" si="0"/>
        <v>2900</v>
      </c>
      <c r="G4">
        <f t="shared" si="1"/>
        <v>0.72655174788893107</v>
      </c>
      <c r="H4">
        <f t="shared" si="2"/>
        <v>4.7211033278711033E-2</v>
      </c>
      <c r="I4">
        <f t="shared" si="3"/>
        <v>7.797550566640972E-2</v>
      </c>
      <c r="J4">
        <f t="shared" si="4"/>
        <v>2.0995682451047221E-3</v>
      </c>
      <c r="K4">
        <f t="shared" si="5"/>
        <v>2.0995682451047221E-3</v>
      </c>
      <c r="L4">
        <f t="shared" si="6"/>
        <v>1.9064216748802668E-5</v>
      </c>
      <c r="M4">
        <f t="shared" si="7"/>
        <v>3.557105859071952E-6</v>
      </c>
      <c r="O4">
        <v>100</v>
      </c>
      <c r="P4">
        <v>9550</v>
      </c>
    </row>
    <row r="5" spans="1:19" x14ac:dyDescent="0.25">
      <c r="A5" t="s">
        <v>4</v>
      </c>
      <c r="B5">
        <v>0</v>
      </c>
      <c r="C5">
        <v>10.1172</v>
      </c>
      <c r="D5" cm="1">
        <f t="array" ref="D5">+LinInterp(C5,Sheet2!$C$4:$C$24,Sheet2!$D$4:$D$24)</f>
        <v>38.762816298964424</v>
      </c>
      <c r="E5">
        <v>39.287999999999997</v>
      </c>
      <c r="F5">
        <f t="shared" si="0"/>
        <v>2900</v>
      </c>
      <c r="G5">
        <f t="shared" si="1"/>
        <v>1.084457428777831</v>
      </c>
      <c r="H5">
        <f t="shared" si="2"/>
        <v>5.9348996400917703E-2</v>
      </c>
      <c r="I5">
        <f t="shared" si="3"/>
        <v>6.5672283476691073E-2</v>
      </c>
      <c r="J5">
        <f t="shared" si="4"/>
        <v>1.8425954553371118E-3</v>
      </c>
      <c r="K5">
        <f t="shared" si="5"/>
        <v>1.8425954553371118E-3</v>
      </c>
      <c r="L5">
        <f t="shared" si="6"/>
        <v>1.6730887039660553E-5</v>
      </c>
      <c r="M5">
        <f t="shared" si="7"/>
        <v>3.1217404365686986E-6</v>
      </c>
    </row>
    <row r="6" spans="1:19" x14ac:dyDescent="0.25">
      <c r="A6" t="s">
        <v>4</v>
      </c>
      <c r="B6">
        <v>0</v>
      </c>
      <c r="C6">
        <v>12.981</v>
      </c>
      <c r="D6" cm="1">
        <f t="array" ref="D6">+LinInterp(C6,Sheet2!$C$4:$C$24,Sheet2!$D$4:$D$24)</f>
        <v>36.145981452859345</v>
      </c>
      <c r="E6">
        <v>38.17</v>
      </c>
      <c r="F6">
        <f t="shared" si="0"/>
        <v>2900</v>
      </c>
      <c r="G6">
        <f t="shared" si="1"/>
        <v>1.3914266677504668</v>
      </c>
      <c r="H6">
        <f t="shared" si="2"/>
        <v>7.1007773021767084E-2</v>
      </c>
      <c r="I6">
        <f t="shared" si="3"/>
        <v>6.1238820270621414E-2</v>
      </c>
      <c r="J6">
        <f t="shared" si="4"/>
        <v>1.6200558833607014E-3</v>
      </c>
      <c r="K6">
        <f t="shared" si="5"/>
        <v>1.6200558833607014E-3</v>
      </c>
      <c r="L6">
        <f t="shared" si="6"/>
        <v>1.4710213196247355E-5</v>
      </c>
      <c r="M6">
        <f t="shared" si="7"/>
        <v>2.7447120559964965E-6</v>
      </c>
      <c r="O6" t="s">
        <v>10</v>
      </c>
      <c r="P6">
        <v>80</v>
      </c>
    </row>
    <row r="7" spans="1:19" x14ac:dyDescent="0.25">
      <c r="A7" t="s">
        <v>4</v>
      </c>
      <c r="B7">
        <v>0</v>
      </c>
      <c r="C7">
        <v>14.7606</v>
      </c>
      <c r="D7" cm="1">
        <f t="array" ref="D7">+LinInterp(C7,Sheet2!$C$4:$C$24,Sheet2!$D$4:$D$24)</f>
        <v>31.770903896103896</v>
      </c>
      <c r="E7">
        <v>37.704000000000001</v>
      </c>
      <c r="F7">
        <f t="shared" si="0"/>
        <v>2900</v>
      </c>
      <c r="G7">
        <f t="shared" si="1"/>
        <v>1.5821810701793038</v>
      </c>
      <c r="H7">
        <f t="shared" si="2"/>
        <v>7.0969427725843165E-2</v>
      </c>
      <c r="I7">
        <f t="shared" si="3"/>
        <v>5.3826527744615535E-2</v>
      </c>
      <c r="J7">
        <f t="shared" si="4"/>
        <v>1.5354299075380573E-3</v>
      </c>
      <c r="K7">
        <f t="shared" si="5"/>
        <v>1.5354299075380573E-3</v>
      </c>
      <c r="L7">
        <f t="shared" si="6"/>
        <v>1.3941803810449395E-5</v>
      </c>
      <c r="M7">
        <f t="shared" si="7"/>
        <v>2.6013380289172319E-6</v>
      </c>
    </row>
    <row r="8" spans="1:19" x14ac:dyDescent="0.25">
      <c r="A8" t="s">
        <v>4</v>
      </c>
      <c r="B8">
        <v>0</v>
      </c>
      <c r="C8">
        <v>17.502600000000001</v>
      </c>
      <c r="D8" cm="1">
        <f t="array" ref="D8">+LinInterp(C8,Sheet2!$C$4:$C$24,Sheet2!$D$4:$D$24)</f>
        <v>27.395287009063445</v>
      </c>
      <c r="E8">
        <v>37.338000000000001</v>
      </c>
      <c r="F8">
        <f t="shared" si="0"/>
        <v>2900</v>
      </c>
      <c r="G8">
        <f t="shared" si="1"/>
        <v>1.8760946302264327</v>
      </c>
      <c r="H8">
        <f t="shared" si="2"/>
        <v>7.2563152667564745E-2</v>
      </c>
      <c r="I8">
        <f t="shared" si="3"/>
        <v>4.6413321480787022E-2</v>
      </c>
      <c r="J8">
        <f t="shared" si="4"/>
        <v>1.4720751981218176E-3</v>
      </c>
      <c r="K8">
        <f t="shared" si="5"/>
        <v>1.4720751981218176E-3</v>
      </c>
      <c r="L8">
        <f t="shared" si="6"/>
        <v>1.33665389124473E-5</v>
      </c>
      <c r="M8">
        <f t="shared" si="7"/>
        <v>2.4940019570416223E-6</v>
      </c>
    </row>
    <row r="9" spans="1:19" x14ac:dyDescent="0.25">
      <c r="A9" t="s">
        <v>4</v>
      </c>
      <c r="B9">
        <v>0</v>
      </c>
      <c r="C9">
        <v>19.749600000000001</v>
      </c>
      <c r="D9" cm="1">
        <f t="array" ref="D9">+LinInterp(C9,Sheet2!$C$4:$C$24,Sheet2!$D$4:$D$24)</f>
        <v>24.151315296008573</v>
      </c>
      <c r="E9">
        <v>37.350999999999999</v>
      </c>
      <c r="F9">
        <f t="shared" si="0"/>
        <v>2900</v>
      </c>
      <c r="G9">
        <f t="shared" si="1"/>
        <v>2.1169493966107864</v>
      </c>
      <c r="H9">
        <f t="shared" si="2"/>
        <v>7.2183313282625949E-2</v>
      </c>
      <c r="I9">
        <f t="shared" si="3"/>
        <v>4.0917357815840466E-2</v>
      </c>
      <c r="J9">
        <f t="shared" si="4"/>
        <v>1.4742800736716683E-3</v>
      </c>
      <c r="K9">
        <f t="shared" si="5"/>
        <v>1.4742800736716683E-3</v>
      </c>
      <c r="L9">
        <f t="shared" si="6"/>
        <v>1.3386559326398833E-5</v>
      </c>
      <c r="M9">
        <f t="shared" si="7"/>
        <v>2.4977374754060218E-6</v>
      </c>
    </row>
    <row r="10" spans="1:19" x14ac:dyDescent="0.25">
      <c r="A10" t="s">
        <v>4</v>
      </c>
      <c r="B10">
        <v>0</v>
      </c>
      <c r="C10">
        <v>21.028200000000002</v>
      </c>
      <c r="D10" cm="1">
        <f t="array" ref="D10">+LinInterp(C10,Sheet2!$C$4:$C$24,Sheet2!$D$4:$D$24)</f>
        <v>21.862188588266807</v>
      </c>
      <c r="E10">
        <v>37.338000000000001</v>
      </c>
      <c r="F10">
        <f t="shared" si="0"/>
        <v>2900</v>
      </c>
      <c r="G10">
        <f t="shared" si="1"/>
        <v>2.2540018684839662</v>
      </c>
      <c r="H10">
        <f t="shared" si="2"/>
        <v>6.957183467311169E-2</v>
      </c>
      <c r="I10">
        <f t="shared" si="3"/>
        <v>3.7039100443996768E-2</v>
      </c>
      <c r="J10">
        <f t="shared" si="4"/>
        <v>1.4720751981218176E-3</v>
      </c>
      <c r="K10">
        <f t="shared" si="5"/>
        <v>1.4720751981218176E-3</v>
      </c>
      <c r="L10">
        <f t="shared" si="6"/>
        <v>1.33665389124473E-5</v>
      </c>
      <c r="M10">
        <f t="shared" si="7"/>
        <v>2.4940019570416223E-6</v>
      </c>
    </row>
    <row r="11" spans="1:19" x14ac:dyDescent="0.25">
      <c r="A11" t="s">
        <v>4</v>
      </c>
      <c r="B11">
        <v>0</v>
      </c>
      <c r="C11">
        <v>22.8186</v>
      </c>
      <c r="D11" cm="1">
        <f t="array" ref="D11">+LinInterp(C11,Sheet2!$C$4:$C$24,Sheet2!$D$4:$D$24)</f>
        <v>20.6</v>
      </c>
      <c r="E11">
        <v>36.688000000000002</v>
      </c>
      <c r="F11">
        <f t="shared" si="0"/>
        <v>2900</v>
      </c>
      <c r="G11">
        <f t="shared" si="1"/>
        <v>2.4459139173199906</v>
      </c>
      <c r="H11">
        <f t="shared" si="2"/>
        <v>7.1136736396170616E-2</v>
      </c>
      <c r="I11">
        <f t="shared" si="3"/>
        <v>3.4900690114613227E-2</v>
      </c>
      <c r="J11">
        <f t="shared" si="4"/>
        <v>1.3659348816159288E-3</v>
      </c>
      <c r="K11">
        <f t="shared" si="5"/>
        <v>1.3659348816159288E-3</v>
      </c>
      <c r="L11">
        <f t="shared" si="6"/>
        <v>1.2402777908549162E-5</v>
      </c>
      <c r="M11">
        <f t="shared" si="7"/>
        <v>2.3141781563115745E-6</v>
      </c>
    </row>
    <row r="12" spans="1:19" x14ac:dyDescent="0.25">
      <c r="A12" t="s">
        <v>4</v>
      </c>
      <c r="B12">
        <v>0</v>
      </c>
      <c r="C12">
        <v>23.992800000000003</v>
      </c>
      <c r="D12" cm="1">
        <f t="array" ref="D12">+LinInterp(C12,Sheet2!$C$4:$C$24,Sheet2!$D$4:$D$24)</f>
        <v>20.6</v>
      </c>
      <c r="E12">
        <v>35.51</v>
      </c>
      <c r="F12">
        <f t="shared" si="0"/>
        <v>2900</v>
      </c>
      <c r="G12">
        <f t="shared" si="1"/>
        <v>2.5717758072570223</v>
      </c>
      <c r="H12">
        <f t="shared" si="2"/>
        <v>7.4797292077780533E-2</v>
      </c>
      <c r="I12">
        <f t="shared" si="3"/>
        <v>3.4900690114613227E-2</v>
      </c>
      <c r="J12">
        <f t="shared" si="4"/>
        <v>1.1926966396682529E-3</v>
      </c>
      <c r="K12">
        <f t="shared" si="5"/>
        <v>1.1926966396682529E-3</v>
      </c>
      <c r="L12">
        <f t="shared" si="6"/>
        <v>1.0829763360738032E-5</v>
      </c>
      <c r="M12">
        <f t="shared" si="7"/>
        <v>2.0206764962039904E-6</v>
      </c>
    </row>
    <row r="13" spans="1:19" x14ac:dyDescent="0.25">
      <c r="A13" t="s">
        <v>4</v>
      </c>
      <c r="B13">
        <v>0</v>
      </c>
      <c r="C13">
        <v>25.669799999999999</v>
      </c>
      <c r="D13" cm="1">
        <f t="array" ref="D13">+LinInterp(C13,Sheet2!$C$4:$C$24,Sheet2!$D$4:$D$24)</f>
        <v>20.568570155902005</v>
      </c>
      <c r="E13">
        <v>33.966000000000001</v>
      </c>
      <c r="F13">
        <f t="shared" si="0"/>
        <v>2900</v>
      </c>
      <c r="G13">
        <f t="shared" si="1"/>
        <v>2.7515325688175745</v>
      </c>
      <c r="H13">
        <f t="shared" si="2"/>
        <v>7.9903224990307067E-2</v>
      </c>
      <c r="I13">
        <f t="shared" si="3"/>
        <v>3.4847441413195034E-2</v>
      </c>
      <c r="J13">
        <f t="shared" si="4"/>
        <v>9.9845844741834416E-4</v>
      </c>
      <c r="K13">
        <f t="shared" si="5"/>
        <v>9.9845844741834416E-4</v>
      </c>
      <c r="L13">
        <f t="shared" si="6"/>
        <v>9.0660678930714572E-6</v>
      </c>
      <c r="M13">
        <f t="shared" si="7"/>
        <v>1.6915965468769648E-6</v>
      </c>
    </row>
    <row r="14" spans="1:19" x14ac:dyDescent="0.25">
      <c r="A14" t="s">
        <v>4</v>
      </c>
      <c r="B14">
        <v>0</v>
      </c>
      <c r="C14">
        <v>27.571199999999997</v>
      </c>
      <c r="D14" cm="1">
        <f t="array" ref="D14">+LinInterp(C14,Sheet2!$C$4:$C$24,Sheet2!$D$4:$D$24)</f>
        <v>20.245394896719322</v>
      </c>
      <c r="E14">
        <v>32.665999999999997</v>
      </c>
      <c r="F14">
        <f t="shared" si="0"/>
        <v>2900</v>
      </c>
      <c r="G14">
        <f t="shared" si="1"/>
        <v>2.955342650171918</v>
      </c>
      <c r="H14">
        <f t="shared" si="2"/>
        <v>8.4473335289884349E-2</v>
      </c>
      <c r="I14">
        <f t="shared" si="3"/>
        <v>3.4299915220309375E-2</v>
      </c>
      <c r="J14">
        <f t="shared" si="4"/>
        <v>8.5966648504312993E-4</v>
      </c>
      <c r="K14">
        <f t="shared" si="5"/>
        <v>8.5966648504312993E-4</v>
      </c>
      <c r="L14">
        <f t="shared" si="6"/>
        <v>7.805827812815921E-6</v>
      </c>
      <c r="M14">
        <f t="shared" si="7"/>
        <v>1.4564540580781099E-6</v>
      </c>
    </row>
    <row r="15" spans="1:19" x14ac:dyDescent="0.25">
      <c r="A15" t="s">
        <v>4</v>
      </c>
      <c r="B15">
        <v>0</v>
      </c>
      <c r="C15">
        <v>30.460800000000003</v>
      </c>
      <c r="D15" cm="1">
        <f t="array" ref="D15">+LinInterp(C15,Sheet2!$C$4:$C$24,Sheet2!$D$4:$D$24)</f>
        <v>19.499295261239364</v>
      </c>
      <c r="E15">
        <v>31.823</v>
      </c>
      <c r="F15">
        <f t="shared" si="0"/>
        <v>2900</v>
      </c>
      <c r="G15">
        <f t="shared" si="1"/>
        <v>3.2650773777839475</v>
      </c>
      <c r="H15">
        <f t="shared" si="2"/>
        <v>8.9887218484972484E-2</v>
      </c>
      <c r="I15">
        <f t="shared" si="3"/>
        <v>3.3035867056595204E-2</v>
      </c>
      <c r="J15">
        <f t="shared" si="4"/>
        <v>7.8015338225737442E-4</v>
      </c>
      <c r="K15">
        <f t="shared" si="5"/>
        <v>7.8015338225737442E-4</v>
      </c>
      <c r="L15">
        <f t="shared" si="6"/>
        <v>7.0838436480183347E-6</v>
      </c>
      <c r="M15">
        <f t="shared" si="7"/>
        <v>1.321742302720001E-6</v>
      </c>
    </row>
    <row r="16" spans="1:19" x14ac:dyDescent="0.25">
      <c r="A16" t="s">
        <v>4</v>
      </c>
      <c r="B16">
        <v>0</v>
      </c>
      <c r="C16">
        <v>33.110399999999998</v>
      </c>
      <c r="D16" cm="1">
        <f t="array" ref="D16">+LinInterp(C16,Sheet2!$C$4:$C$24,Sheet2!$D$4:$D$24)</f>
        <v>16.665346447445682</v>
      </c>
      <c r="E16">
        <v>31.041</v>
      </c>
      <c r="F16">
        <f t="shared" si="0"/>
        <v>2900</v>
      </c>
      <c r="G16">
        <f t="shared" si="1"/>
        <v>3.5490866296806916</v>
      </c>
      <c r="H16">
        <f t="shared" si="2"/>
        <v>8.3505771891729266E-2</v>
      </c>
      <c r="I16">
        <f t="shared" si="3"/>
        <v>2.8234567573542337E-2</v>
      </c>
      <c r="J16">
        <f t="shared" si="4"/>
        <v>7.1298434748395996E-4</v>
      </c>
      <c r="K16">
        <f t="shared" si="5"/>
        <v>7.1298434748395996E-4</v>
      </c>
      <c r="L16">
        <f t="shared" si="6"/>
        <v>6.473944426731357E-6</v>
      </c>
      <c r="M16">
        <f t="shared" si="7"/>
        <v>1.2079439693256021E-6</v>
      </c>
    </row>
    <row r="17" spans="1:13" x14ac:dyDescent="0.25">
      <c r="A17" t="s">
        <v>4</v>
      </c>
      <c r="B17">
        <v>0</v>
      </c>
      <c r="C17">
        <v>34.8444</v>
      </c>
      <c r="D17" cm="1">
        <f t="array" ref="D17">+LinInterp(C17,Sheet2!$C$4:$C$24,Sheet2!$D$4:$D$24)</f>
        <v>14.792699115044243</v>
      </c>
      <c r="E17">
        <v>30.390999999999998</v>
      </c>
      <c r="F17">
        <f t="shared" si="0"/>
        <v>2900</v>
      </c>
      <c r="G17">
        <f t="shared" si="1"/>
        <v>3.7349531917236245</v>
      </c>
      <c r="H17">
        <f t="shared" si="2"/>
        <v>7.8004226620942793E-2</v>
      </c>
      <c r="I17">
        <f t="shared" si="3"/>
        <v>2.5061912998683128E-2</v>
      </c>
      <c r="J17">
        <f t="shared" si="4"/>
        <v>6.6157638653043915E-4</v>
      </c>
      <c r="K17">
        <f t="shared" si="5"/>
        <v>6.6157638653043915E-4</v>
      </c>
      <c r="L17">
        <f t="shared" si="6"/>
        <v>6.0071567847878471E-6</v>
      </c>
      <c r="M17">
        <f t="shared" si="7"/>
        <v>1.1208481773516717E-6</v>
      </c>
    </row>
    <row r="18" spans="1:13" x14ac:dyDescent="0.25">
      <c r="A18" t="s">
        <v>4</v>
      </c>
      <c r="B18">
        <v>0</v>
      </c>
      <c r="C18">
        <v>36.946200000000005</v>
      </c>
      <c r="D18" cm="1">
        <f t="array" ref="D18">+LinInterp(C18,Sheet2!$C$4:$C$24,Sheet2!$D$4:$D$24)</f>
        <v>12.364365781710909</v>
      </c>
      <c r="E18">
        <v>29.981000000000002</v>
      </c>
      <c r="F18">
        <f t="shared" si="0"/>
        <v>2900</v>
      </c>
      <c r="G18">
        <f t="shared" si="1"/>
        <v>3.960244045300231</v>
      </c>
      <c r="H18">
        <f t="shared" si="2"/>
        <v>6.9132035199185676E-2</v>
      </c>
      <c r="I18">
        <f t="shared" si="3"/>
        <v>2.0947810612195143E-2</v>
      </c>
      <c r="J18">
        <f t="shared" si="4"/>
        <v>6.310735755231052E-4</v>
      </c>
      <c r="K18">
        <f t="shared" si="5"/>
        <v>6.310735755231052E-4</v>
      </c>
      <c r="L18">
        <f t="shared" si="6"/>
        <v>5.7301892692772607E-6</v>
      </c>
      <c r="M18">
        <f t="shared" si="7"/>
        <v>1.0691700630511098E-6</v>
      </c>
    </row>
    <row r="19" spans="1:13" x14ac:dyDescent="0.25">
      <c r="A19" t="s">
        <v>4</v>
      </c>
      <c r="B19">
        <v>0</v>
      </c>
      <c r="C19">
        <v>39.657600000000002</v>
      </c>
      <c r="D19" cm="1">
        <f t="array" ref="D19">+LinInterp(C19,Sheet2!$C$4:$C$24,Sheet2!$D$4:$D$24)</f>
        <v>7.1511595310907214</v>
      </c>
      <c r="E19">
        <v>30.472999999999999</v>
      </c>
      <c r="F19">
        <f t="shared" si="0"/>
        <v>2900</v>
      </c>
      <c r="G19">
        <f t="shared" si="1"/>
        <v>4.2508776071936607</v>
      </c>
      <c r="H19">
        <f t="shared" si="2"/>
        <v>4.2918112672515572E-2</v>
      </c>
      <c r="I19">
        <f t="shared" si="3"/>
        <v>1.211555353178447E-2</v>
      </c>
      <c r="J19">
        <f t="shared" si="4"/>
        <v>6.6785163828564668E-4</v>
      </c>
      <c r="K19">
        <f t="shared" si="5"/>
        <v>6.6785163828564668E-4</v>
      </c>
      <c r="L19">
        <f t="shared" si="6"/>
        <v>6.0641364804436152E-6</v>
      </c>
      <c r="M19">
        <f t="shared" si="7"/>
        <v>1.1314797606963163E-6</v>
      </c>
    </row>
    <row r="20" spans="1:13" x14ac:dyDescent="0.25">
      <c r="A20" t="s">
        <v>4</v>
      </c>
      <c r="B20">
        <v>0</v>
      </c>
      <c r="C20">
        <v>41.673000000000002</v>
      </c>
      <c r="D20" cm="1">
        <f t="array" ref="D20">+LinInterp(C20,Sheet2!$C$4:$C$24,Sheet2!$D$4:$D$24)</f>
        <v>3.6392782820456016</v>
      </c>
      <c r="E20">
        <v>30.919</v>
      </c>
      <c r="F20">
        <f t="shared" si="0"/>
        <v>2900</v>
      </c>
      <c r="G20">
        <f t="shared" si="1"/>
        <v>4.4669072895127648</v>
      </c>
      <c r="H20">
        <f t="shared" si="2"/>
        <v>2.2951324469524442E-2</v>
      </c>
      <c r="I20">
        <f t="shared" si="3"/>
        <v>6.1656953185687154E-3</v>
      </c>
      <c r="J20">
        <f t="shared" si="4"/>
        <v>7.0303993593329682E-4</v>
      </c>
      <c r="K20">
        <f t="shared" si="5"/>
        <v>7.0303993593329682E-4</v>
      </c>
      <c r="L20">
        <f t="shared" si="6"/>
        <v>6.3836485205691435E-6</v>
      </c>
      <c r="M20">
        <f t="shared" si="7"/>
        <v>1.1910960651556081E-6</v>
      </c>
    </row>
    <row r="21" spans="1:13" x14ac:dyDescent="0.25">
      <c r="A21" t="s">
        <v>4</v>
      </c>
      <c r="B21">
        <v>0</v>
      </c>
      <c r="C21">
        <v>43.434600000000003</v>
      </c>
      <c r="D21" cm="1">
        <f t="array" ref="D21">+LinInterp(C21,Sheet2!$C$4:$C$24,Sheet2!$D$4:$D$24)</f>
        <v>0</v>
      </c>
      <c r="E21">
        <v>31.414000000000001</v>
      </c>
      <c r="F21">
        <f t="shared" si="0"/>
        <v>2900</v>
      </c>
      <c r="G21">
        <f t="shared" si="1"/>
        <v>4.6557322812629556</v>
      </c>
      <c r="H21">
        <f t="shared" si="2"/>
        <v>0</v>
      </c>
      <c r="I21">
        <f t="shared" si="3"/>
        <v>0</v>
      </c>
      <c r="J21">
        <f t="shared" si="4"/>
        <v>7.4426911200774226E-4</v>
      </c>
      <c r="K21">
        <f t="shared" si="5"/>
        <v>7.4426911200774226E-4</v>
      </c>
      <c r="L21">
        <f t="shared" si="6"/>
        <v>6.758012131225949E-6</v>
      </c>
      <c r="M21">
        <f t="shared" si="7"/>
        <v>1.2609468757310959E-6</v>
      </c>
    </row>
    <row r="22" spans="1:13" x14ac:dyDescent="0.25">
      <c r="A22" t="s">
        <v>4</v>
      </c>
      <c r="B22">
        <v>0</v>
      </c>
      <c r="C22">
        <v>44.303999999999995</v>
      </c>
      <c r="D22" cm="1">
        <f t="array" ref="D22">+LinInterp(C22,Sheet2!$C$4:$C$24,Sheet2!$D$4:$D$24)</f>
        <v>0</v>
      </c>
      <c r="E22">
        <v>31.651</v>
      </c>
      <c r="F22">
        <f t="shared" si="0"/>
        <v>2900</v>
      </c>
      <c r="G22">
        <f t="shared" si="1"/>
        <v>4.7489228170415743</v>
      </c>
      <c r="H22">
        <f t="shared" si="2"/>
        <v>0</v>
      </c>
      <c r="I22">
        <f t="shared" si="3"/>
        <v>0</v>
      </c>
      <c r="J22">
        <f t="shared" si="4"/>
        <v>7.6485655961305258E-4</v>
      </c>
      <c r="K22">
        <f t="shared" si="5"/>
        <v>7.6485655961305258E-4</v>
      </c>
      <c r="L22">
        <f t="shared" si="6"/>
        <v>6.9449474996605568E-6</v>
      </c>
      <c r="M22">
        <f t="shared" si="7"/>
        <v>1.2958262994749682E-6</v>
      </c>
    </row>
    <row r="23" spans="1:13" x14ac:dyDescent="0.25">
      <c r="A23" t="s">
        <v>4</v>
      </c>
      <c r="B23">
        <v>50</v>
      </c>
      <c r="C23">
        <v>0.87780000000000002</v>
      </c>
      <c r="D23">
        <v>280</v>
      </c>
      <c r="E23">
        <v>60.691000000000003</v>
      </c>
      <c r="F23">
        <f t="shared" si="0"/>
        <v>6225</v>
      </c>
      <c r="G23">
        <f t="shared" si="1"/>
        <v>4.3833524424593907E-2</v>
      </c>
      <c r="H23">
        <f t="shared" si="2"/>
        <v>3.7606875750479324E-3</v>
      </c>
      <c r="I23">
        <f t="shared" si="3"/>
        <v>0.10295373573760551</v>
      </c>
      <c r="J23">
        <f t="shared" si="4"/>
        <v>2.1656087408230516E-2</v>
      </c>
      <c r="K23">
        <f t="shared" si="5"/>
        <v>2.1656087408230516E-2</v>
      </c>
      <c r="L23">
        <f t="shared" si="6"/>
        <v>1.9881305253462672E-5</v>
      </c>
      <c r="M23">
        <f t="shared" si="7"/>
        <v>7.9627682147766101E-6</v>
      </c>
    </row>
    <row r="24" spans="1:13" x14ac:dyDescent="0.25">
      <c r="A24" t="s">
        <v>4</v>
      </c>
      <c r="B24">
        <v>50</v>
      </c>
      <c r="C24">
        <v>4.1201999999999996</v>
      </c>
      <c r="D24" cm="1">
        <f t="array" ref="D24">+LinInterp(C24,Sheet2!$C$25:$C$50,Sheet2!$D$25:$D$50)</f>
        <v>264.85243473325767</v>
      </c>
      <c r="E24">
        <v>59.923000000000002</v>
      </c>
      <c r="F24">
        <f t="shared" si="0"/>
        <v>6225</v>
      </c>
      <c r="G24">
        <f t="shared" si="1"/>
        <v>0.20574491607907475</v>
      </c>
      <c r="H24">
        <f t="shared" si="2"/>
        <v>1.6696902641364097E-2</v>
      </c>
      <c r="I24">
        <f t="shared" si="3"/>
        <v>9.7384098482104359E-2</v>
      </c>
      <c r="J24">
        <f t="shared" si="4"/>
        <v>1.9823484504579627E-2</v>
      </c>
      <c r="K24">
        <f t="shared" si="5"/>
        <v>1.9823484504579627E-2</v>
      </c>
      <c r="L24">
        <f t="shared" si="6"/>
        <v>1.819888972525335E-5</v>
      </c>
      <c r="M24">
        <f t="shared" si="7"/>
        <v>7.2889349467250307E-6</v>
      </c>
    </row>
    <row r="25" spans="1:13" x14ac:dyDescent="0.25">
      <c r="A25" t="s">
        <v>4</v>
      </c>
      <c r="B25">
        <v>50</v>
      </c>
      <c r="C25">
        <v>7.3632</v>
      </c>
      <c r="D25" cm="1">
        <f t="array" ref="D25">+LinInterp(C25,Sheet2!$C$25:$C$50,Sheet2!$D$25:$D$50)</f>
        <v>247.81555031924597</v>
      </c>
      <c r="E25">
        <v>59.258000000000003</v>
      </c>
      <c r="F25">
        <f t="shared" si="0"/>
        <v>6225</v>
      </c>
      <c r="G25">
        <f t="shared" si="1"/>
        <v>0.36768626913097502</v>
      </c>
      <c r="H25">
        <f t="shared" si="2"/>
        <v>2.7919574743824151E-2</v>
      </c>
      <c r="I25">
        <f t="shared" si="3"/>
        <v>9.1119773854417607E-2</v>
      </c>
      <c r="J25">
        <f t="shared" si="4"/>
        <v>1.8362423338630713E-2</v>
      </c>
      <c r="K25">
        <f t="shared" si="5"/>
        <v>1.8362423338630713E-2</v>
      </c>
      <c r="L25">
        <f t="shared" si="6"/>
        <v>1.6857566960589467E-5</v>
      </c>
      <c r="M25">
        <f t="shared" si="7"/>
        <v>6.7517145710979506E-6</v>
      </c>
    </row>
    <row r="26" spans="1:13" x14ac:dyDescent="0.25">
      <c r="A26" t="s">
        <v>4</v>
      </c>
      <c r="B26">
        <v>50</v>
      </c>
      <c r="C26">
        <v>10.5702</v>
      </c>
      <c r="D26" cm="1">
        <f t="array" ref="D26">+LinInterp(C26,Sheet2!$C$25:$C$50,Sheet2!$D$25:$D$50)</f>
        <v>231.25132236095345</v>
      </c>
      <c r="E26">
        <v>58.234000000000002</v>
      </c>
      <c r="F26">
        <f t="shared" si="0"/>
        <v>6225</v>
      </c>
      <c r="G26">
        <f t="shared" si="1"/>
        <v>0.52782993833771075</v>
      </c>
      <c r="H26">
        <f t="shared" si="2"/>
        <v>3.7400815942232275E-2</v>
      </c>
      <c r="I26">
        <f t="shared" si="3"/>
        <v>8.5029241183290805E-2</v>
      </c>
      <c r="J26">
        <f t="shared" si="4"/>
        <v>1.6320369820394743E-2</v>
      </c>
      <c r="K26">
        <f t="shared" si="5"/>
        <v>1.6320369820394743E-2</v>
      </c>
      <c r="L26">
        <f t="shared" si="6"/>
        <v>1.4982865931975825E-5</v>
      </c>
      <c r="M26">
        <f t="shared" si="7"/>
        <v>6.0008680058175446E-6</v>
      </c>
    </row>
    <row r="27" spans="1:13" x14ac:dyDescent="0.25">
      <c r="A27" t="s">
        <v>4</v>
      </c>
      <c r="B27">
        <v>50</v>
      </c>
      <c r="C27">
        <v>14.130599999999999</v>
      </c>
      <c r="D27" cm="1">
        <f t="array" ref="D27">+LinInterp(C27,Sheet2!$C$25:$C$50,Sheet2!$D$25:$D$50)</f>
        <v>214.67828466721835</v>
      </c>
      <c r="E27">
        <v>57.62</v>
      </c>
      <c r="F27">
        <f t="shared" si="0"/>
        <v>6225</v>
      </c>
      <c r="G27">
        <f t="shared" si="1"/>
        <v>0.70562087062447787</v>
      </c>
      <c r="H27">
        <f t="shared" si="2"/>
        <v>4.6415428775732771E-2</v>
      </c>
      <c r="I27">
        <f t="shared" si="3"/>
        <v>7.8935469243683026E-2</v>
      </c>
      <c r="J27">
        <f t="shared" si="4"/>
        <v>1.5206525538803634E-2</v>
      </c>
      <c r="K27">
        <f t="shared" si="5"/>
        <v>1.5206525538803634E-2</v>
      </c>
      <c r="L27">
        <f t="shared" si="6"/>
        <v>1.3960304573144198E-5</v>
      </c>
      <c r="M27">
        <f t="shared" si="7"/>
        <v>5.5913164707469229E-6</v>
      </c>
    </row>
    <row r="28" spans="1:13" x14ac:dyDescent="0.25">
      <c r="A28" t="s">
        <v>4</v>
      </c>
      <c r="B28">
        <v>50</v>
      </c>
      <c r="C28">
        <v>17.6904</v>
      </c>
      <c r="D28" cm="1">
        <f t="array" ref="D28">+LinInterp(C28,Sheet2!$C$25:$C$50,Sheet2!$D$25:$D$50)</f>
        <v>200.32097174606926</v>
      </c>
      <c r="E28">
        <v>56.75</v>
      </c>
      <c r="F28">
        <f t="shared" si="0"/>
        <v>6225</v>
      </c>
      <c r="G28">
        <f t="shared" si="1"/>
        <v>0.88338184151382548</v>
      </c>
      <c r="H28">
        <f t="shared" si="2"/>
        <v>5.4222272912421057E-2</v>
      </c>
      <c r="I28">
        <f t="shared" si="3"/>
        <v>7.365640138516126E-2</v>
      </c>
      <c r="J28">
        <f t="shared" si="4"/>
        <v>1.3757198246176158E-2</v>
      </c>
      <c r="K28">
        <f t="shared" si="5"/>
        <v>1.3757198246176158E-2</v>
      </c>
      <c r="L28">
        <f t="shared" si="6"/>
        <v>1.2629754055235299E-5</v>
      </c>
      <c r="M28">
        <f t="shared" si="7"/>
        <v>5.0584105454523928E-6</v>
      </c>
    </row>
    <row r="29" spans="1:13" x14ac:dyDescent="0.25">
      <c r="A29" t="s">
        <v>4</v>
      </c>
      <c r="B29">
        <v>50</v>
      </c>
      <c r="C29">
        <v>20.898600000000002</v>
      </c>
      <c r="D29" cm="1">
        <f t="array" ref="D29">+LinInterp(C29,Sheet2!$C$25:$C$50,Sheet2!$D$25:$D$50)</f>
        <v>186.97843148575828</v>
      </c>
      <c r="E29">
        <v>56.392000000000003</v>
      </c>
      <c r="F29">
        <f t="shared" si="0"/>
        <v>6225</v>
      </c>
      <c r="G29">
        <f t="shared" si="1"/>
        <v>1.0435854335154002</v>
      </c>
      <c r="H29">
        <f t="shared" si="2"/>
        <v>5.9789146425481388E-2</v>
      </c>
      <c r="I29">
        <f t="shared" si="3"/>
        <v>6.8750457227916908E-2</v>
      </c>
      <c r="J29">
        <f t="shared" si="4"/>
        <v>1.320170414004321E-2</v>
      </c>
      <c r="K29">
        <f t="shared" si="5"/>
        <v>1.320170414004321E-2</v>
      </c>
      <c r="L29">
        <f t="shared" si="6"/>
        <v>1.2119784378703093E-5</v>
      </c>
      <c r="M29">
        <f t="shared" si="7"/>
        <v>4.8541598547145039E-6</v>
      </c>
    </row>
    <row r="30" spans="1:13" x14ac:dyDescent="0.25">
      <c r="A30" t="s">
        <v>4</v>
      </c>
      <c r="B30">
        <v>50</v>
      </c>
      <c r="C30">
        <v>23.718</v>
      </c>
      <c r="D30" cm="1">
        <f t="array" ref="D30">+LinInterp(C30,Sheet2!$C$25:$C$50,Sheet2!$D$25:$D$50)</f>
        <v>181.18155119322557</v>
      </c>
      <c r="E30">
        <v>55.701000000000001</v>
      </c>
      <c r="F30">
        <f t="shared" si="0"/>
        <v>6225</v>
      </c>
      <c r="G30">
        <f t="shared" si="1"/>
        <v>1.1843740399891982</v>
      </c>
      <c r="H30">
        <f t="shared" si="2"/>
        <v>6.575150314437761E-2</v>
      </c>
      <c r="I30">
        <f t="shared" si="3"/>
        <v>6.6618991221702825E-2</v>
      </c>
      <c r="J30">
        <f t="shared" si="4"/>
        <v>1.2192141536172273E-2</v>
      </c>
      <c r="K30">
        <f t="shared" si="5"/>
        <v>1.2192141536172273E-2</v>
      </c>
      <c r="L30">
        <f t="shared" si="6"/>
        <v>1.1192958497292472E-5</v>
      </c>
      <c r="M30">
        <f t="shared" si="7"/>
        <v>4.4829518492520137E-6</v>
      </c>
    </row>
    <row r="31" spans="1:13" x14ac:dyDescent="0.25">
      <c r="A31" t="s">
        <v>4</v>
      </c>
      <c r="B31">
        <v>50</v>
      </c>
      <c r="C31">
        <v>27.383999999999997</v>
      </c>
      <c r="D31" cm="1">
        <f t="array" ref="D31">+LinInterp(C31,Sheet2!$C$25:$C$50,Sheet2!$D$25:$D$50)</f>
        <v>170.0157961926092</v>
      </c>
      <c r="E31">
        <v>55.162999999999997</v>
      </c>
      <c r="F31">
        <f t="shared" si="0"/>
        <v>6225</v>
      </c>
      <c r="G31">
        <f t="shared" si="1"/>
        <v>1.367438178221781</v>
      </c>
      <c r="H31">
        <f t="shared" si="2"/>
        <v>7.1236046237497325E-2</v>
      </c>
      <c r="I31">
        <f t="shared" si="3"/>
        <v>6.2513433401544583E-2</v>
      </c>
      <c r="J31">
        <f t="shared" si="4"/>
        <v>1.1459878037905973E-2</v>
      </c>
      <c r="K31">
        <f t="shared" si="5"/>
        <v>1.1459878037905973E-2</v>
      </c>
      <c r="L31">
        <f t="shared" si="6"/>
        <v>1.0520706217341489E-5</v>
      </c>
      <c r="M31">
        <f t="shared" si="7"/>
        <v>4.2137044824991454E-6</v>
      </c>
    </row>
    <row r="32" spans="1:13" x14ac:dyDescent="0.25">
      <c r="A32" t="s">
        <v>4</v>
      </c>
      <c r="B32">
        <v>50</v>
      </c>
      <c r="C32">
        <v>30.486599999999996</v>
      </c>
      <c r="D32" cm="1">
        <f t="array" ref="D32">+LinInterp(C32,Sheet2!$C$25:$C$50,Sheet2!$D$25:$D$50)</f>
        <v>158.74892765957449</v>
      </c>
      <c r="E32">
        <v>54.753999999999998</v>
      </c>
      <c r="F32">
        <f t="shared" si="0"/>
        <v>6225</v>
      </c>
      <c r="G32">
        <f t="shared" si="1"/>
        <v>1.5223685642775397</v>
      </c>
      <c r="H32">
        <f t="shared" si="2"/>
        <v>7.4051428430417662E-2</v>
      </c>
      <c r="I32">
        <f t="shared" si="3"/>
        <v>5.8370696953186023E-2</v>
      </c>
      <c r="J32">
        <f t="shared" si="4"/>
        <v>1.0932764562668383E-2</v>
      </c>
      <c r="K32">
        <f t="shared" si="5"/>
        <v>1.0932764562668383E-2</v>
      </c>
      <c r="L32">
        <f t="shared" si="6"/>
        <v>1.0036791292781792E-5</v>
      </c>
      <c r="M32">
        <f t="shared" si="7"/>
        <v>4.0198891202372105E-6</v>
      </c>
    </row>
    <row r="33" spans="1:13" x14ac:dyDescent="0.25">
      <c r="A33" t="s">
        <v>4</v>
      </c>
      <c r="B33">
        <v>50</v>
      </c>
      <c r="C33">
        <v>34.011600000000001</v>
      </c>
      <c r="D33" cm="1">
        <f t="array" ref="D33">+LinInterp(C33,Sheet2!$C$25:$C$50,Sheet2!$D$25:$D$50)</f>
        <v>145.18561021404432</v>
      </c>
      <c r="E33">
        <v>54.395000000000003</v>
      </c>
      <c r="F33">
        <f t="shared" si="0"/>
        <v>6225</v>
      </c>
      <c r="G33">
        <f t="shared" si="1"/>
        <v>1.6983917741165622</v>
      </c>
      <c r="H33">
        <f t="shared" si="2"/>
        <v>7.5555186942269745E-2</v>
      </c>
      <c r="I33">
        <f t="shared" si="3"/>
        <v>5.3383574810284704E-2</v>
      </c>
      <c r="J33">
        <f t="shared" si="4"/>
        <v>1.0490108874535808E-2</v>
      </c>
      <c r="K33">
        <f t="shared" si="5"/>
        <v>1.0490108874535808E-2</v>
      </c>
      <c r="L33">
        <f t="shared" si="6"/>
        <v>9.6304125830892643E-6</v>
      </c>
      <c r="M33">
        <f t="shared" si="7"/>
        <v>3.8571282033131064E-6</v>
      </c>
    </row>
    <row r="34" spans="1:13" x14ac:dyDescent="0.25">
      <c r="A34" t="s">
        <v>4</v>
      </c>
      <c r="B34">
        <v>50</v>
      </c>
      <c r="C34">
        <v>37.537199999999999</v>
      </c>
      <c r="D34" cm="1">
        <f t="array" ref="D34">+LinInterp(C34,Sheet2!$C$25:$C$50,Sheet2!$D$25:$D$50)</f>
        <v>131.11295162120433</v>
      </c>
      <c r="E34">
        <v>54.344000000000001</v>
      </c>
      <c r="F34">
        <f t="shared" si="0"/>
        <v>6225</v>
      </c>
      <c r="G34">
        <f t="shared" si="1"/>
        <v>1.8744449453530032</v>
      </c>
      <c r="H34">
        <f t="shared" si="2"/>
        <v>7.5304532384994877E-2</v>
      </c>
      <c r="I34">
        <f t="shared" si="3"/>
        <v>4.8209172046381879E-2</v>
      </c>
      <c r="J34">
        <f t="shared" si="4"/>
        <v>1.042869570828916E-2</v>
      </c>
      <c r="K34">
        <f t="shared" si="5"/>
        <v>1.042869570828916E-2</v>
      </c>
      <c r="L34">
        <f t="shared" si="6"/>
        <v>9.5740324123910611E-6</v>
      </c>
      <c r="M34">
        <f t="shared" si="7"/>
        <v>3.8345470787110818E-6</v>
      </c>
    </row>
    <row r="35" spans="1:13" x14ac:dyDescent="0.25">
      <c r="A35" t="s">
        <v>4</v>
      </c>
      <c r="B35">
        <v>50</v>
      </c>
      <c r="C35">
        <v>40.992000000000004</v>
      </c>
      <c r="D35" cm="1">
        <f t="array" ref="D35">+LinInterp(C35,Sheet2!$C$25:$C$50,Sheet2!$D$25:$D$50)</f>
        <v>119.34479892761394</v>
      </c>
      <c r="E35">
        <v>54.267000000000003</v>
      </c>
      <c r="F35">
        <f t="shared" si="0"/>
        <v>6225</v>
      </c>
      <c r="G35">
        <f t="shared" si="1"/>
        <v>2.0469626716939548</v>
      </c>
      <c r="H35">
        <f t="shared" si="2"/>
        <v>7.4854213672984185E-2</v>
      </c>
      <c r="I35">
        <f t="shared" si="3"/>
        <v>4.388211746589725E-2</v>
      </c>
      <c r="J35">
        <f t="shared" si="4"/>
        <v>1.0336654388812313E-2</v>
      </c>
      <c r="K35">
        <f t="shared" si="5"/>
        <v>1.0336654388812313E-2</v>
      </c>
      <c r="L35">
        <f t="shared" si="6"/>
        <v>9.4895341586688672E-6</v>
      </c>
      <c r="M35">
        <f t="shared" si="7"/>
        <v>3.8007042298455107E-6</v>
      </c>
    </row>
    <row r="36" spans="1:13" x14ac:dyDescent="0.25">
      <c r="A36" t="s">
        <v>4</v>
      </c>
      <c r="B36">
        <v>50</v>
      </c>
      <c r="C36">
        <v>44.305800000000005</v>
      </c>
      <c r="D36" cm="1">
        <f t="array" ref="D36">+LinInterp(C36,Sheet2!$C$25:$C$50,Sheet2!$D$25:$D$50)</f>
        <v>108.01245352306631</v>
      </c>
      <c r="E36">
        <v>54.139000000000003</v>
      </c>
      <c r="F36">
        <f t="shared" si="0"/>
        <v>6225</v>
      </c>
      <c r="G36">
        <f t="shared" si="1"/>
        <v>2.2124394696413452</v>
      </c>
      <c r="H36">
        <f t="shared" si="2"/>
        <v>7.3223091568822868E-2</v>
      </c>
      <c r="I36">
        <f t="shared" si="3"/>
        <v>3.9715305701372022E-2</v>
      </c>
      <c r="J36">
        <f t="shared" si="4"/>
        <v>1.0185444710980733E-2</v>
      </c>
      <c r="K36">
        <f t="shared" si="5"/>
        <v>1.0185444710980733E-2</v>
      </c>
      <c r="L36">
        <f t="shared" si="6"/>
        <v>9.3507165733138663E-6</v>
      </c>
      <c r="M36">
        <f t="shared" si="7"/>
        <v>3.7451056540867928E-6</v>
      </c>
    </row>
    <row r="37" spans="1:13" x14ac:dyDescent="0.25">
      <c r="A37" t="s">
        <v>4</v>
      </c>
      <c r="B37">
        <v>50</v>
      </c>
      <c r="C37">
        <v>47.511000000000003</v>
      </c>
      <c r="D37" cm="1">
        <f t="array" ref="D37">+LinInterp(C37,Sheet2!$C$25:$C$50,Sheet2!$D$25:$D$50)</f>
        <v>100.56261662361342</v>
      </c>
      <c r="E37">
        <v>53.975999999999999</v>
      </c>
      <c r="F37">
        <f t="shared" si="0"/>
        <v>6225</v>
      </c>
      <c r="G37">
        <f t="shared" si="1"/>
        <v>2.3724932546558226</v>
      </c>
      <c r="H37">
        <f t="shared" si="2"/>
        <v>7.3104545925776754E-2</v>
      </c>
      <c r="I37">
        <f t="shared" si="3"/>
        <v>3.6976060917677252E-2</v>
      </c>
      <c r="J37">
        <f t="shared" si="4"/>
        <v>9.9960862715647858E-3</v>
      </c>
      <c r="K37">
        <f t="shared" si="5"/>
        <v>9.9960862715647858E-3</v>
      </c>
      <c r="L37">
        <f t="shared" si="6"/>
        <v>9.1768766332831034E-6</v>
      </c>
      <c r="M37">
        <f t="shared" si="7"/>
        <v>3.6754800871892404E-6</v>
      </c>
    </row>
    <row r="38" spans="1:13" x14ac:dyDescent="0.25">
      <c r="A38" t="s">
        <v>4</v>
      </c>
      <c r="B38">
        <v>50</v>
      </c>
      <c r="C38">
        <v>51.073800000000006</v>
      </c>
      <c r="D38" cm="1">
        <f t="array" ref="D38">+LinInterp(C38,Sheet2!$C$25:$C$50,Sheet2!$D$25:$D$50)</f>
        <v>96.916478394011577</v>
      </c>
      <c r="E38">
        <v>52.911000000000001</v>
      </c>
      <c r="F38">
        <f t="shared" si="0"/>
        <v>6225</v>
      </c>
      <c r="G38">
        <f t="shared" si="1"/>
        <v>2.5504040325322674</v>
      </c>
      <c r="H38">
        <f t="shared" si="2"/>
        <v>7.573723464259266E-2</v>
      </c>
      <c r="I38">
        <f t="shared" si="3"/>
        <v>3.5635405375701507E-2</v>
      </c>
      <c r="J38">
        <f t="shared" si="4"/>
        <v>8.8426003208958142E-3</v>
      </c>
      <c r="K38">
        <f t="shared" si="5"/>
        <v>8.8426003208958142E-3</v>
      </c>
      <c r="L38">
        <f t="shared" si="6"/>
        <v>8.1179223605867952E-6</v>
      </c>
      <c r="M38">
        <f t="shared" si="7"/>
        <v>3.2513526309670476E-6</v>
      </c>
    </row>
    <row r="39" spans="1:13" x14ac:dyDescent="0.25">
      <c r="A39" t="s">
        <v>4</v>
      </c>
      <c r="B39">
        <v>50</v>
      </c>
      <c r="C39">
        <v>53.152799999999999</v>
      </c>
      <c r="D39" cm="1">
        <f t="array" ref="D39">+LinInterp(C39,Sheet2!$C$25:$C$50,Sheet2!$D$25:$D$50)</f>
        <v>96.612892990813208</v>
      </c>
      <c r="E39">
        <v>51.771999999999998</v>
      </c>
      <c r="F39">
        <f t="shared" si="0"/>
        <v>6225</v>
      </c>
      <c r="G39">
        <f t="shared" si="1"/>
        <v>2.6542202745905161</v>
      </c>
      <c r="H39">
        <f t="shared" si="2"/>
        <v>7.8573279767014212E-2</v>
      </c>
      <c r="I39">
        <f t="shared" si="3"/>
        <v>3.5523779477934794E-2</v>
      </c>
      <c r="J39">
        <f t="shared" si="4"/>
        <v>7.7558606175236562E-3</v>
      </c>
      <c r="K39">
        <f t="shared" si="5"/>
        <v>7.7558606175236562E-3</v>
      </c>
      <c r="L39">
        <f t="shared" si="6"/>
        <v>7.1202442774447808E-6</v>
      </c>
      <c r="M39">
        <f t="shared" si="7"/>
        <v>2.8517672301222585E-6</v>
      </c>
    </row>
    <row r="40" spans="1:13" x14ac:dyDescent="0.25">
      <c r="A40" t="s">
        <v>4</v>
      </c>
      <c r="B40">
        <v>50</v>
      </c>
      <c r="C40">
        <v>56.994</v>
      </c>
      <c r="D40" cm="1">
        <f t="array" ref="D40">+LinInterp(C40,Sheet2!$C$25:$C$50,Sheet2!$D$25:$D$50)</f>
        <v>95.80355870624723</v>
      </c>
      <c r="E40">
        <v>50.454000000000001</v>
      </c>
      <c r="F40">
        <f t="shared" si="0"/>
        <v>6225</v>
      </c>
      <c r="G40">
        <f t="shared" si="1"/>
        <v>2.846033140869566</v>
      </c>
      <c r="H40">
        <f t="shared" si="2"/>
        <v>8.354576249952983E-2</v>
      </c>
      <c r="I40">
        <f t="shared" si="3"/>
        <v>3.5226193806304117E-2</v>
      </c>
      <c r="J40">
        <f t="shared" si="4"/>
        <v>6.6639233897861638E-3</v>
      </c>
      <c r="K40">
        <f t="shared" si="5"/>
        <v>6.6639233897861638E-3</v>
      </c>
      <c r="L40">
        <f t="shared" si="6"/>
        <v>6.1177946228493617E-6</v>
      </c>
      <c r="M40">
        <f t="shared" si="7"/>
        <v>2.4502707415989037E-6</v>
      </c>
    </row>
    <row r="41" spans="1:13" x14ac:dyDescent="0.25">
      <c r="A41" t="s">
        <v>4</v>
      </c>
      <c r="B41">
        <v>50</v>
      </c>
      <c r="C41">
        <v>63.762</v>
      </c>
      <c r="D41" cm="1">
        <f t="array" ref="D41">+LinInterp(C41,Sheet2!$C$25:$C$50,Sheet2!$D$25:$D$50)</f>
        <v>92.082393194007764</v>
      </c>
      <c r="E41">
        <v>49.021000000000001</v>
      </c>
      <c r="F41">
        <f t="shared" si="0"/>
        <v>6225</v>
      </c>
      <c r="G41">
        <f t="shared" si="1"/>
        <v>3.1839977037604883</v>
      </c>
      <c r="H41">
        <f t="shared" si="2"/>
        <v>8.9836366098431028E-2</v>
      </c>
      <c r="I41">
        <f t="shared" si="3"/>
        <v>3.3857951339221995E-2</v>
      </c>
      <c r="J41">
        <f t="shared" si="4"/>
        <v>5.6504104399278917E-3</v>
      </c>
      <c r="K41">
        <f t="shared" si="5"/>
        <v>5.6504104399278917E-3</v>
      </c>
      <c r="L41">
        <f t="shared" si="6"/>
        <v>5.1873421383063045E-6</v>
      </c>
      <c r="M41">
        <f t="shared" si="7"/>
        <v>2.0776102258619407E-6</v>
      </c>
    </row>
    <row r="42" spans="1:13" x14ac:dyDescent="0.25">
      <c r="A42" t="s">
        <v>4</v>
      </c>
      <c r="B42">
        <v>50</v>
      </c>
      <c r="C42">
        <v>70.53</v>
      </c>
      <c r="D42" cm="1">
        <f t="array" ref="D42">+LinInterp(C42,Sheet2!$C$25:$C$50,Sheet2!$D$25:$D$50)</f>
        <v>82.464181523500812</v>
      </c>
      <c r="E42">
        <v>48.201999999999998</v>
      </c>
      <c r="F42">
        <f t="shared" si="0"/>
        <v>6225</v>
      </c>
      <c r="G42">
        <f t="shared" si="1"/>
        <v>3.5219622666514105</v>
      </c>
      <c r="H42">
        <f t="shared" si="2"/>
        <v>8.8992392796280864E-2</v>
      </c>
      <c r="I42">
        <f t="shared" si="3"/>
        <v>3.0321412687101548E-2</v>
      </c>
      <c r="J42">
        <f t="shared" si="4"/>
        <v>5.1419754128304539E-3</v>
      </c>
      <c r="K42">
        <f t="shared" si="5"/>
        <v>5.1419754128304539E-3</v>
      </c>
      <c r="L42">
        <f t="shared" si="6"/>
        <v>4.7205749063161436E-6</v>
      </c>
      <c r="M42">
        <f t="shared" si="7"/>
        <v>1.8906627779350411E-6</v>
      </c>
    </row>
    <row r="43" spans="1:13" x14ac:dyDescent="0.25">
      <c r="A43" t="s">
        <v>4</v>
      </c>
      <c r="B43">
        <v>50</v>
      </c>
      <c r="C43">
        <v>77.298600000000008</v>
      </c>
      <c r="D43" cm="1">
        <f t="array" ref="D43">+LinInterp(C43,Sheet2!$C$25:$C$50,Sheet2!$D$25:$D$50)</f>
        <v>65.084993302973459</v>
      </c>
      <c r="E43">
        <v>47.792999999999999</v>
      </c>
      <c r="F43">
        <f t="shared" si="0"/>
        <v>6225</v>
      </c>
      <c r="G43">
        <f t="shared" si="1"/>
        <v>3.8599567909397527</v>
      </c>
      <c r="H43">
        <f t="shared" si="2"/>
        <v>7.6977914354274424E-2</v>
      </c>
      <c r="I43">
        <f t="shared" si="3"/>
        <v>2.393122571785055E-2</v>
      </c>
      <c r="J43">
        <f t="shared" si="4"/>
        <v>4.9054629019225707E-3</v>
      </c>
      <c r="K43">
        <f t="shared" si="5"/>
        <v>4.9054629019225707E-3</v>
      </c>
      <c r="L43">
        <f t="shared" si="6"/>
        <v>4.5034453142073009E-6</v>
      </c>
      <c r="M43">
        <f t="shared" si="7"/>
        <v>1.803699040268442E-6</v>
      </c>
    </row>
    <row r="44" spans="1:13" x14ac:dyDescent="0.25">
      <c r="A44" t="s">
        <v>4</v>
      </c>
      <c r="B44">
        <v>50</v>
      </c>
      <c r="C44">
        <v>80.866799999999998</v>
      </c>
      <c r="D44" cm="1">
        <f t="array" ref="D44">+LinInterp(C44,Sheet2!$C$25:$C$50,Sheet2!$D$25:$D$50)</f>
        <v>53.476227141482177</v>
      </c>
      <c r="E44">
        <v>47.454000000000001</v>
      </c>
      <c r="F44">
        <f t="shared" si="0"/>
        <v>6225</v>
      </c>
      <c r="G44">
        <f t="shared" si="1"/>
        <v>4.0381372213929714</v>
      </c>
      <c r="H44">
        <f t="shared" si="2"/>
        <v>6.6167490631093409E-2</v>
      </c>
      <c r="I44">
        <f t="shared" si="3"/>
        <v>1.9662776276315439E-2</v>
      </c>
      <c r="J44">
        <f t="shared" si="4"/>
        <v>4.7176964712579714E-3</v>
      </c>
      <c r="K44">
        <f t="shared" si="5"/>
        <v>4.7176964712579714E-3</v>
      </c>
      <c r="L44">
        <f t="shared" si="6"/>
        <v>4.331066912974155E-6</v>
      </c>
      <c r="M44">
        <f t="shared" si="7"/>
        <v>1.73465884211474E-6</v>
      </c>
    </row>
    <row r="45" spans="1:13" x14ac:dyDescent="0.25">
      <c r="A45" t="s">
        <v>4</v>
      </c>
      <c r="B45">
        <v>50</v>
      </c>
      <c r="C45">
        <v>84.349799999999988</v>
      </c>
      <c r="D45" cm="1">
        <f t="array" ref="D45">+LinInterp(C45,Sheet2!$C$25:$C$50,Sheet2!$D$25:$D$50)</f>
        <v>41.610539015982482</v>
      </c>
      <c r="E45">
        <v>47.792999999999999</v>
      </c>
      <c r="F45">
        <f t="shared" si="0"/>
        <v>6225</v>
      </c>
      <c r="G45">
        <f t="shared" si="1"/>
        <v>4.2120631334126344</v>
      </c>
      <c r="H45">
        <f t="shared" si="2"/>
        <v>5.3703309002524804E-2</v>
      </c>
      <c r="I45">
        <f t="shared" si="3"/>
        <v>1.5299858706252801E-2</v>
      </c>
      <c r="J45">
        <f t="shared" si="4"/>
        <v>4.9054629019225707E-3</v>
      </c>
      <c r="K45">
        <f t="shared" si="5"/>
        <v>4.9054629019225707E-3</v>
      </c>
      <c r="L45">
        <f t="shared" si="6"/>
        <v>4.5034453142073009E-6</v>
      </c>
      <c r="M45">
        <f t="shared" si="7"/>
        <v>1.803699040268442E-6</v>
      </c>
    </row>
    <row r="46" spans="1:13" x14ac:dyDescent="0.25">
      <c r="A46" t="s">
        <v>4</v>
      </c>
      <c r="B46">
        <v>50</v>
      </c>
      <c r="C46">
        <v>88.255200000000002</v>
      </c>
      <c r="D46" cm="1">
        <f t="array" ref="D46">+LinInterp(C46,Sheet2!$C$25:$C$50,Sheet2!$D$25:$D$50)</f>
        <v>28.601638542816602</v>
      </c>
      <c r="E46">
        <v>48.063000000000002</v>
      </c>
      <c r="F46">
        <f t="shared" si="0"/>
        <v>6225</v>
      </c>
      <c r="G46">
        <f t="shared" si="1"/>
        <v>4.4070818692155616</v>
      </c>
      <c r="H46">
        <f t="shared" si="2"/>
        <v>3.8622898672178656E-2</v>
      </c>
      <c r="I46">
        <f t="shared" si="3"/>
        <v>1.0516591200713046E-2</v>
      </c>
      <c r="J46">
        <f t="shared" si="4"/>
        <v>5.0603434718125458E-3</v>
      </c>
      <c r="K46">
        <f t="shared" si="5"/>
        <v>5.0603434718125458E-3</v>
      </c>
      <c r="L46">
        <f t="shared" si="6"/>
        <v>4.6456329508642611E-6</v>
      </c>
      <c r="M46">
        <f t="shared" si="7"/>
        <v>1.8606473733518071E-6</v>
      </c>
    </row>
    <row r="47" spans="1:13" x14ac:dyDescent="0.25">
      <c r="A47" t="s">
        <v>4</v>
      </c>
      <c r="B47">
        <v>50</v>
      </c>
      <c r="C47">
        <v>90.913200000000003</v>
      </c>
      <c r="D47" cm="1">
        <f t="array" ref="D47">+LinInterp(C47,Sheet2!$C$25:$C$50,Sheet2!$D$25:$D$50)</f>
        <v>18.667148714713758</v>
      </c>
      <c r="E47">
        <v>48.063000000000002</v>
      </c>
      <c r="F47">
        <f t="shared" si="0"/>
        <v>6225</v>
      </c>
      <c r="G47">
        <f t="shared" si="1"/>
        <v>4.5398108597835396</v>
      </c>
      <c r="H47">
        <f t="shared" si="2"/>
        <v>2.5966808747222004E-2</v>
      </c>
      <c r="I47">
        <f t="shared" si="3"/>
        <v>6.8637596276757947E-3</v>
      </c>
      <c r="J47">
        <f t="shared" si="4"/>
        <v>5.0603434718125458E-3</v>
      </c>
      <c r="K47">
        <f t="shared" si="5"/>
        <v>5.0603434718125458E-3</v>
      </c>
      <c r="L47">
        <f t="shared" si="6"/>
        <v>4.6456329508642611E-6</v>
      </c>
      <c r="M47">
        <f t="shared" si="7"/>
        <v>1.8606473733518071E-6</v>
      </c>
    </row>
    <row r="48" spans="1:13" x14ac:dyDescent="0.25">
      <c r="A48" t="s">
        <v>4</v>
      </c>
      <c r="B48">
        <v>50</v>
      </c>
      <c r="C48">
        <v>93.208199999999991</v>
      </c>
      <c r="D48" cm="1">
        <f t="array" ref="D48">+LinInterp(C48,Sheet2!$C$25:$C$50,Sheet2!$D$25:$D$50)</f>
        <v>10.786832343138714</v>
      </c>
      <c r="E48">
        <v>48.326999999999998</v>
      </c>
      <c r="F48">
        <f t="shared" si="0"/>
        <v>6225</v>
      </c>
      <c r="G48">
        <f t="shared" si="1"/>
        <v>4.6544132049127747</v>
      </c>
      <c r="H48">
        <f t="shared" si="2"/>
        <v>1.538373170683823E-2</v>
      </c>
      <c r="I48">
        <f t="shared" si="3"/>
        <v>3.9662310232191399E-3</v>
      </c>
      <c r="J48">
        <f t="shared" si="4"/>
        <v>5.2165094163237561E-3</v>
      </c>
      <c r="K48">
        <f t="shared" si="5"/>
        <v>5.2165094163237561E-3</v>
      </c>
      <c r="L48">
        <f t="shared" si="6"/>
        <v>4.78900062178725E-6</v>
      </c>
      <c r="M48">
        <f t="shared" si="7"/>
        <v>1.9180683282890239E-6</v>
      </c>
    </row>
    <row r="49" spans="1:13" x14ac:dyDescent="0.25">
      <c r="A49" t="s">
        <v>4</v>
      </c>
      <c r="B49">
        <v>50</v>
      </c>
      <c r="C49">
        <v>96.370200000000011</v>
      </c>
      <c r="D49" cm="1">
        <f t="array" ref="D49">+LinInterp(C49,Sheet2!$C$25:$C$50,Sheet2!$D$25:$D$50)</f>
        <v>0</v>
      </c>
      <c r="E49">
        <v>48.55</v>
      </c>
      <c r="F49">
        <f t="shared" si="0"/>
        <v>6225</v>
      </c>
      <c r="G49">
        <f t="shared" si="1"/>
        <v>4.812309769313055</v>
      </c>
      <c r="H49">
        <f t="shared" si="2"/>
        <v>0</v>
      </c>
      <c r="I49">
        <f t="shared" si="3"/>
        <v>0</v>
      </c>
      <c r="J49">
        <f t="shared" si="4"/>
        <v>5.3521711863986632E-3</v>
      </c>
      <c r="K49">
        <f t="shared" si="5"/>
        <v>5.3521711863986632E-3</v>
      </c>
      <c r="L49">
        <f t="shared" si="6"/>
        <v>4.9135444976611181E-6</v>
      </c>
      <c r="M49">
        <f t="shared" si="7"/>
        <v>1.9679500640961232E-6</v>
      </c>
    </row>
    <row r="50" spans="1:13" x14ac:dyDescent="0.25">
      <c r="A50" t="s">
        <v>4</v>
      </c>
      <c r="B50">
        <v>100</v>
      </c>
      <c r="C50">
        <v>0.88860000000000006</v>
      </c>
      <c r="D50">
        <v>475</v>
      </c>
      <c r="E50">
        <v>70.518000000000001</v>
      </c>
      <c r="F50">
        <f t="shared" si="0"/>
        <v>9550</v>
      </c>
      <c r="G50">
        <f t="shared" si="1"/>
        <v>2.892365069360647E-2</v>
      </c>
      <c r="H50">
        <f t="shared" si="2"/>
        <v>1.788634150326355E-3</v>
      </c>
      <c r="I50">
        <f t="shared" si="3"/>
        <v>7.4207817095027898E-2</v>
      </c>
      <c r="J50">
        <f t="shared" si="4"/>
        <v>6.7132063339986725E-2</v>
      </c>
      <c r="K50">
        <f t="shared" si="5"/>
        <v>6.7132063339986725E-2</v>
      </c>
      <c r="L50">
        <f t="shared" si="6"/>
        <v>1.7068794352574322E-5</v>
      </c>
      <c r="M50">
        <f t="shared" si="7"/>
        <v>1.0487839742201185E-5</v>
      </c>
    </row>
    <row r="51" spans="1:13" x14ac:dyDescent="0.25">
      <c r="A51" t="s">
        <v>4</v>
      </c>
      <c r="B51">
        <v>100</v>
      </c>
      <c r="C51">
        <v>7.6566000000000001</v>
      </c>
      <c r="D51" cm="1">
        <f t="array" ref="D51">+LinInterp(C51,Sheet2!$C$51:$C$81,Sheet2!$D$51:$D$81)</f>
        <v>444.63710130533485</v>
      </c>
      <c r="E51">
        <v>69.698999999999998</v>
      </c>
      <c r="F51">
        <f t="shared" si="0"/>
        <v>9550</v>
      </c>
      <c r="G51">
        <f t="shared" si="1"/>
        <v>0.24921992336334378</v>
      </c>
      <c r="H51">
        <f t="shared" si="2"/>
        <v>1.4426575640680322E-2</v>
      </c>
      <c r="I51">
        <f t="shared" si="3"/>
        <v>6.9464313025957222E-2</v>
      </c>
      <c r="J51">
        <f t="shared" si="4"/>
        <v>6.1091388453401244E-2</v>
      </c>
      <c r="K51">
        <f t="shared" si="5"/>
        <v>6.1091388453401244E-2</v>
      </c>
      <c r="L51">
        <f t="shared" si="6"/>
        <v>1.553291071873295E-5</v>
      </c>
      <c r="M51">
        <f t="shared" si="7"/>
        <v>9.5441233272237864E-6</v>
      </c>
    </row>
    <row r="52" spans="1:13" x14ac:dyDescent="0.25">
      <c r="A52" t="s">
        <v>4</v>
      </c>
      <c r="B52">
        <v>100</v>
      </c>
      <c r="C52">
        <v>10.671000000000001</v>
      </c>
      <c r="D52" cm="1">
        <f t="array" ref="D52">+LinInterp(C52,Sheet2!$C$51:$C$81,Sheet2!$D$51:$D$81)</f>
        <v>431.23667167355114</v>
      </c>
      <c r="E52">
        <v>69.212999999999994</v>
      </c>
      <c r="F52">
        <f t="shared" si="0"/>
        <v>9550</v>
      </c>
      <c r="G52">
        <f t="shared" si="1"/>
        <v>0.34733769587156721</v>
      </c>
      <c r="H52">
        <f t="shared" si="2"/>
        <v>1.9500349953840396E-2</v>
      </c>
      <c r="I52">
        <f t="shared" si="3"/>
        <v>6.7370804328883122E-2</v>
      </c>
      <c r="J52">
        <f t="shared" si="4"/>
        <v>5.7767024161887302E-2</v>
      </c>
      <c r="K52">
        <f t="shared" si="5"/>
        <v>5.7767024161887302E-2</v>
      </c>
      <c r="L52">
        <f t="shared" si="6"/>
        <v>1.4687667959583399E-5</v>
      </c>
      <c r="M52">
        <f t="shared" si="7"/>
        <v>9.0247679223776631E-6</v>
      </c>
    </row>
    <row r="53" spans="1:13" x14ac:dyDescent="0.25">
      <c r="A53" t="s">
        <v>4</v>
      </c>
      <c r="B53">
        <v>100</v>
      </c>
      <c r="C53">
        <v>14.4252</v>
      </c>
      <c r="D53" cm="1">
        <f t="array" ref="D53">+LinInterp(C53,Sheet2!$C$51:$C$81,Sheet2!$D$51:$D$81)</f>
        <v>417.61679058705721</v>
      </c>
      <c r="E53">
        <v>69.084999999999994</v>
      </c>
      <c r="F53">
        <f t="shared" si="0"/>
        <v>9550</v>
      </c>
      <c r="G53">
        <f t="shared" si="1"/>
        <v>0.46953572584448799</v>
      </c>
      <c r="H53">
        <f t="shared" si="2"/>
        <v>2.5528270592261766E-2</v>
      </c>
      <c r="I53">
        <f t="shared" si="3"/>
        <v>6.5243011393046127E-2</v>
      </c>
      <c r="J53">
        <f t="shared" si="4"/>
        <v>5.6921979645137108E-2</v>
      </c>
      <c r="K53">
        <f t="shared" si="5"/>
        <v>5.6921979645137108E-2</v>
      </c>
      <c r="L53">
        <f t="shared" si="6"/>
        <v>1.4472809509573743E-5</v>
      </c>
      <c r="M53">
        <f t="shared" si="7"/>
        <v>8.8927491667226007E-6</v>
      </c>
    </row>
    <row r="54" spans="1:13" x14ac:dyDescent="0.25">
      <c r="A54" t="s">
        <v>4</v>
      </c>
      <c r="B54">
        <v>100</v>
      </c>
      <c r="C54">
        <v>17.809799999999999</v>
      </c>
      <c r="D54" cm="1">
        <f t="array" ref="D54">+LinInterp(C54,Sheet2!$C$51:$C$81,Sheet2!$D$51:$D$81)</f>
        <v>406.00333333333333</v>
      </c>
      <c r="E54">
        <v>68.88</v>
      </c>
      <c r="F54">
        <f t="shared" si="0"/>
        <v>9550</v>
      </c>
      <c r="G54">
        <f t="shared" si="1"/>
        <v>0.57970339199076348</v>
      </c>
      <c r="H54">
        <f t="shared" si="2"/>
        <v>3.0641515522207112E-2</v>
      </c>
      <c r="I54">
        <f t="shared" si="3"/>
        <v>6.3428675999940301E-2</v>
      </c>
      <c r="J54">
        <f t="shared" si="4"/>
        <v>5.5594265355185836E-2</v>
      </c>
      <c r="K54">
        <f t="shared" si="5"/>
        <v>5.5594265355185836E-2</v>
      </c>
      <c r="L54">
        <f t="shared" si="6"/>
        <v>1.4135228910279788E-5</v>
      </c>
      <c r="M54">
        <f t="shared" si="7"/>
        <v>8.6853243684422664E-6</v>
      </c>
    </row>
    <row r="55" spans="1:13" x14ac:dyDescent="0.25">
      <c r="A55" t="s">
        <v>4</v>
      </c>
      <c r="B55">
        <v>100</v>
      </c>
      <c r="C55">
        <v>21.1938</v>
      </c>
      <c r="D55" cm="1">
        <f t="array" ref="D55">+LinInterp(C55,Sheet2!$C$51:$C$81,Sheet2!$D$51:$D$81)</f>
        <v>395.55897351345601</v>
      </c>
      <c r="E55">
        <v>68.676000000000002</v>
      </c>
      <c r="F55">
        <f t="shared" si="0"/>
        <v>9550</v>
      </c>
      <c r="G55">
        <f t="shared" si="1"/>
        <v>0.68985152832563224</v>
      </c>
      <c r="H55">
        <f t="shared" si="2"/>
        <v>3.5525620555784961E-2</v>
      </c>
      <c r="I55">
        <f t="shared" si="3"/>
        <v>6.1796985172175849E-2</v>
      </c>
      <c r="J55">
        <f t="shared" si="4"/>
        <v>5.4303771806545352E-2</v>
      </c>
      <c r="K55">
        <f t="shared" si="5"/>
        <v>5.4303771806545352E-2</v>
      </c>
      <c r="L55">
        <f t="shared" si="6"/>
        <v>1.3807111943525572E-5</v>
      </c>
      <c r="M55">
        <f t="shared" si="7"/>
        <v>8.4837144542952637E-6</v>
      </c>
    </row>
    <row r="56" spans="1:13" x14ac:dyDescent="0.25">
      <c r="A56" t="s">
        <v>4</v>
      </c>
      <c r="B56">
        <v>100</v>
      </c>
      <c r="C56">
        <v>27.962400000000002</v>
      </c>
      <c r="D56" cm="1">
        <f t="array" ref="D56">+LinInterp(C56,Sheet2!$C$51:$C$81,Sheet2!$D$51:$D$81)</f>
        <v>378.32681446646512</v>
      </c>
      <c r="E56">
        <v>68.061000000000007</v>
      </c>
      <c r="F56">
        <f t="shared" si="0"/>
        <v>9550</v>
      </c>
      <c r="G56">
        <f t="shared" si="1"/>
        <v>0.91016733080677659</v>
      </c>
      <c r="H56">
        <f t="shared" si="2"/>
        <v>4.4829424904700543E-2</v>
      </c>
      <c r="I56">
        <f t="shared" si="3"/>
        <v>5.9104856947519997E-2</v>
      </c>
      <c r="J56">
        <f t="shared" si="4"/>
        <v>5.0591784188050208E-2</v>
      </c>
      <c r="K56">
        <f t="shared" si="5"/>
        <v>5.0591784188050208E-2</v>
      </c>
      <c r="L56">
        <f t="shared" si="6"/>
        <v>1.2863313255579446E-5</v>
      </c>
      <c r="M56">
        <f t="shared" si="7"/>
        <v>7.9038018263956941E-6</v>
      </c>
    </row>
    <row r="57" spans="1:13" x14ac:dyDescent="0.25">
      <c r="A57" t="s">
        <v>4</v>
      </c>
      <c r="B57">
        <v>100</v>
      </c>
      <c r="C57">
        <v>30.500399999999999</v>
      </c>
      <c r="D57" cm="1">
        <f t="array" ref="D57">+LinInterp(C57,Sheet2!$C$51:$C$81,Sheet2!$D$51:$D$81)</f>
        <v>372.51062367036167</v>
      </c>
      <c r="E57">
        <v>67.652000000000001</v>
      </c>
      <c r="F57">
        <f t="shared" si="0"/>
        <v>9550</v>
      </c>
      <c r="G57">
        <f t="shared" si="1"/>
        <v>0.9927784330579279</v>
      </c>
      <c r="H57">
        <f t="shared" si="2"/>
        <v>4.81466193093869E-2</v>
      </c>
      <c r="I57">
        <f t="shared" si="3"/>
        <v>5.8196211004810462E-2</v>
      </c>
      <c r="J57">
        <f t="shared" si="4"/>
        <v>4.8264742740172228E-2</v>
      </c>
      <c r="K57">
        <f t="shared" si="5"/>
        <v>4.8264742740172228E-2</v>
      </c>
      <c r="L57">
        <f t="shared" si="6"/>
        <v>1.227164677092833E-5</v>
      </c>
      <c r="M57">
        <f t="shared" si="7"/>
        <v>7.5402551608447921E-6</v>
      </c>
    </row>
    <row r="58" spans="1:13" x14ac:dyDescent="0.25">
      <c r="A58" t="s">
        <v>4</v>
      </c>
      <c r="B58">
        <v>100</v>
      </c>
      <c r="C58">
        <v>37.268999999999998</v>
      </c>
      <c r="D58" cm="1">
        <f t="array" ref="D58">+LinInterp(C58,Sheet2!$C$51:$C$81,Sheet2!$D$51:$D$81)</f>
        <v>359.18117180701927</v>
      </c>
      <c r="E58">
        <v>67.242000000000004</v>
      </c>
      <c r="F58">
        <f t="shared" si="0"/>
        <v>9550</v>
      </c>
      <c r="G58">
        <f t="shared" si="1"/>
        <v>1.2130942355390721</v>
      </c>
      <c r="H58">
        <f t="shared" si="2"/>
        <v>5.6726096946797602E-2</v>
      </c>
      <c r="I58">
        <f t="shared" si="3"/>
        <v>5.6113790950385427E-2</v>
      </c>
      <c r="J58">
        <f t="shared" si="4"/>
        <v>4.6039436099707204E-2</v>
      </c>
      <c r="K58">
        <f t="shared" si="5"/>
        <v>4.6039436099707204E-2</v>
      </c>
      <c r="L58">
        <f t="shared" si="6"/>
        <v>1.1705847069150192E-5</v>
      </c>
      <c r="M58">
        <f t="shared" si="7"/>
        <v>7.1926022173585197E-6</v>
      </c>
    </row>
    <row r="59" spans="1:13" x14ac:dyDescent="0.25">
      <c r="A59" t="s">
        <v>4</v>
      </c>
      <c r="B59">
        <v>100</v>
      </c>
      <c r="C59">
        <v>44.037599999999998</v>
      </c>
      <c r="D59" cm="1">
        <f t="array" ref="D59">+LinInterp(C59,Sheet2!$C$51:$C$81,Sheet2!$D$51:$D$81)</f>
        <v>346.25302198358827</v>
      </c>
      <c r="E59">
        <v>66.628</v>
      </c>
      <c r="F59">
        <f t="shared" si="0"/>
        <v>9550</v>
      </c>
      <c r="G59">
        <f t="shared" si="1"/>
        <v>1.4334100380202162</v>
      </c>
      <c r="H59">
        <f t="shared" si="2"/>
        <v>6.4615813263384392E-2</v>
      </c>
      <c r="I59">
        <f t="shared" si="3"/>
        <v>5.4094065103071139E-2</v>
      </c>
      <c r="J59">
        <f t="shared" si="4"/>
        <v>4.2897303709836042E-2</v>
      </c>
      <c r="K59">
        <f t="shared" si="5"/>
        <v>4.2897303709836042E-2</v>
      </c>
      <c r="L59">
        <f t="shared" si="6"/>
        <v>1.0906938039352384E-5</v>
      </c>
      <c r="M59">
        <f t="shared" si="7"/>
        <v>6.701716352777631E-6</v>
      </c>
    </row>
    <row r="60" spans="1:13" x14ac:dyDescent="0.25">
      <c r="A60" t="s">
        <v>4</v>
      </c>
      <c r="B60">
        <v>100</v>
      </c>
      <c r="C60">
        <v>50.806200000000004</v>
      </c>
      <c r="D60" cm="1">
        <f t="array" ref="D60">+LinInterp(C60,Sheet2!$C$51:$C$81,Sheet2!$D$51:$D$81)</f>
        <v>328.3335177304964</v>
      </c>
      <c r="E60">
        <v>66.013999999999996</v>
      </c>
      <c r="F60">
        <f t="shared" si="0"/>
        <v>9550</v>
      </c>
      <c r="G60">
        <f t="shared" si="1"/>
        <v>1.6537258405013606</v>
      </c>
      <c r="H60">
        <f t="shared" si="2"/>
        <v>7.0689275914682312E-2</v>
      </c>
      <c r="I60">
        <f t="shared" si="3"/>
        <v>5.1294555010340581E-2</v>
      </c>
      <c r="J60">
        <f t="shared" si="4"/>
        <v>3.9969617820441096E-2</v>
      </c>
      <c r="K60">
        <f t="shared" si="5"/>
        <v>3.9969617820441096E-2</v>
      </c>
      <c r="L60">
        <f t="shared" si="6"/>
        <v>1.0162553524877757E-5</v>
      </c>
      <c r="M60">
        <f t="shared" si="7"/>
        <v>6.2443328180578116E-6</v>
      </c>
    </row>
    <row r="61" spans="1:13" x14ac:dyDescent="0.25">
      <c r="A61" t="s">
        <v>4</v>
      </c>
      <c r="B61">
        <v>100</v>
      </c>
      <c r="C61">
        <v>54.754199999999997</v>
      </c>
      <c r="D61" cm="1">
        <f t="array" ref="D61">+LinInterp(C61,Sheet2!$C$51:$C$81,Sheet2!$D$51:$D$81)</f>
        <v>314.8320788530466</v>
      </c>
      <c r="E61">
        <v>65.605000000000004</v>
      </c>
      <c r="F61">
        <f t="shared" si="0"/>
        <v>9550</v>
      </c>
      <c r="G61">
        <f t="shared" si="1"/>
        <v>1.7822319995587073</v>
      </c>
      <c r="H61">
        <f t="shared" si="2"/>
        <v>7.3049629059462523E-2</v>
      </c>
      <c r="I61">
        <f t="shared" si="3"/>
        <v>4.9185265943524806E-2</v>
      </c>
      <c r="J61">
        <f t="shared" si="4"/>
        <v>3.8131158101798165E-2</v>
      </c>
      <c r="K61">
        <f t="shared" si="5"/>
        <v>3.8131158101798165E-2</v>
      </c>
      <c r="L61">
        <f t="shared" si="6"/>
        <v>9.695112345480603E-6</v>
      </c>
      <c r="M61">
        <f t="shared" si="7"/>
        <v>5.957115802189115E-6</v>
      </c>
    </row>
    <row r="62" spans="1:13" x14ac:dyDescent="0.25">
      <c r="A62" t="s">
        <v>4</v>
      </c>
      <c r="B62">
        <v>100</v>
      </c>
      <c r="C62">
        <v>61.805399999999999</v>
      </c>
      <c r="D62" cm="1">
        <f t="array" ref="D62">+LinInterp(C62,Sheet2!$C$51:$C$81,Sheet2!$D$51:$D$81)</f>
        <v>284.93657800239396</v>
      </c>
      <c r="E62">
        <v>65.400000000000006</v>
      </c>
      <c r="F62">
        <f t="shared" si="0"/>
        <v>9550</v>
      </c>
      <c r="G62">
        <f t="shared" si="1"/>
        <v>2.0117463432124976</v>
      </c>
      <c r="H62">
        <f t="shared" si="2"/>
        <v>7.4627041639211883E-2</v>
      </c>
      <c r="I62">
        <f t="shared" si="3"/>
        <v>4.4514782029652214E-2</v>
      </c>
      <c r="J62">
        <f t="shared" si="4"/>
        <v>3.7241742733257407E-2</v>
      </c>
      <c r="K62">
        <f t="shared" si="5"/>
        <v>3.7241742733257407E-2</v>
      </c>
      <c r="L62">
        <f t="shared" si="6"/>
        <v>9.4689722975759715E-6</v>
      </c>
      <c r="M62">
        <f t="shared" si="7"/>
        <v>5.8181651222097897E-6</v>
      </c>
    </row>
    <row r="63" spans="1:13" x14ac:dyDescent="0.25">
      <c r="A63" t="s">
        <v>4</v>
      </c>
      <c r="B63">
        <v>100</v>
      </c>
      <c r="C63">
        <v>68.574600000000004</v>
      </c>
      <c r="D63" cm="1">
        <f t="array" ref="D63">+LinInterp(C63,Sheet2!$C$51:$C$81,Sheet2!$D$51:$D$81)</f>
        <v>260.90552836879431</v>
      </c>
      <c r="E63">
        <v>65.400000000000006</v>
      </c>
      <c r="F63">
        <f t="shared" si="0"/>
        <v>9550</v>
      </c>
      <c r="G63">
        <f t="shared" si="1"/>
        <v>2.2320816755050488</v>
      </c>
      <c r="H63">
        <f t="shared" si="2"/>
        <v>7.5817273845126307E-2</v>
      </c>
      <c r="I63">
        <f t="shared" si="3"/>
        <v>4.0760483638469687E-2</v>
      </c>
      <c r="J63">
        <f t="shared" si="4"/>
        <v>3.7241742733257407E-2</v>
      </c>
      <c r="K63">
        <f t="shared" si="5"/>
        <v>3.7241742733257407E-2</v>
      </c>
      <c r="L63">
        <f t="shared" si="6"/>
        <v>9.4689722975759715E-6</v>
      </c>
      <c r="M63">
        <f t="shared" si="7"/>
        <v>5.8181651222097897E-6</v>
      </c>
    </row>
    <row r="64" spans="1:13" x14ac:dyDescent="0.25">
      <c r="A64" t="s">
        <v>4</v>
      </c>
      <c r="B64">
        <v>100</v>
      </c>
      <c r="C64">
        <v>71.835599999999999</v>
      </c>
      <c r="D64" cm="1">
        <f t="array" ref="D64">+LinInterp(C64,Sheet2!$C$51:$C$81,Sheet2!$D$51:$D$81)</f>
        <v>251.86086170212764</v>
      </c>
      <c r="E64">
        <v>65.131</v>
      </c>
      <c r="F64">
        <f t="shared" si="0"/>
        <v>9550</v>
      </c>
      <c r="G64">
        <f t="shared" si="1"/>
        <v>2.3382262005015044</v>
      </c>
      <c r="H64">
        <f t="shared" si="2"/>
        <v>7.6669390075570817E-2</v>
      </c>
      <c r="I64">
        <f t="shared" si="3"/>
        <v>3.9347462649658112E-2</v>
      </c>
      <c r="J64">
        <f t="shared" si="4"/>
        <v>3.6106051366134435E-2</v>
      </c>
      <c r="K64">
        <f t="shared" si="5"/>
        <v>3.6106051366134435E-2</v>
      </c>
      <c r="L64">
        <f t="shared" si="6"/>
        <v>9.1802148629170331E-6</v>
      </c>
      <c r="M64">
        <f t="shared" si="7"/>
        <v>5.6407394858984979E-6</v>
      </c>
    </row>
    <row r="65" spans="1:13" x14ac:dyDescent="0.25">
      <c r="A65" t="s">
        <v>4</v>
      </c>
      <c r="B65">
        <v>100</v>
      </c>
      <c r="C65">
        <v>75.625799999999998</v>
      </c>
      <c r="D65" cm="1">
        <f t="array" ref="D65">+LinInterp(C65,Sheet2!$C$51:$C$81,Sheet2!$D$51:$D$81)</f>
        <v>242.60496162027189</v>
      </c>
      <c r="E65">
        <v>65.194999999999993</v>
      </c>
      <c r="F65">
        <f t="shared" si="0"/>
        <v>9550</v>
      </c>
      <c r="G65">
        <f t="shared" si="1"/>
        <v>2.4615960191588386</v>
      </c>
      <c r="H65">
        <f t="shared" si="2"/>
        <v>7.7748364190348834E-2</v>
      </c>
      <c r="I65">
        <f t="shared" si="3"/>
        <v>3.7901441301607157E-2</v>
      </c>
      <c r="J65">
        <f t="shared" si="4"/>
        <v>3.6373073120606919E-2</v>
      </c>
      <c r="K65">
        <f t="shared" si="5"/>
        <v>3.6373073120606919E-2</v>
      </c>
      <c r="L65">
        <f t="shared" si="6"/>
        <v>9.248107002499753E-6</v>
      </c>
      <c r="M65">
        <f t="shared" si="7"/>
        <v>5.6824554890906817E-6</v>
      </c>
    </row>
    <row r="66" spans="1:13" x14ac:dyDescent="0.25">
      <c r="A66" t="s">
        <v>4</v>
      </c>
      <c r="B66">
        <v>100</v>
      </c>
      <c r="C66">
        <v>82.393799999999999</v>
      </c>
      <c r="D66" cm="1">
        <f t="array" ref="D66">+LinInterp(C66,Sheet2!$C$51:$C$81,Sheet2!$D$51:$D$81)</f>
        <v>232.18554630039876</v>
      </c>
      <c r="E66">
        <v>64.171000000000006</v>
      </c>
      <c r="F66">
        <f t="shared" si="0"/>
        <v>9550</v>
      </c>
      <c r="G66">
        <f t="shared" si="1"/>
        <v>2.6818922918285759</v>
      </c>
      <c r="H66">
        <f t="shared" si="2"/>
        <v>8.1068346306082201E-2</v>
      </c>
      <c r="I66">
        <f t="shared" si="3"/>
        <v>3.6273647477829733E-2</v>
      </c>
      <c r="J66">
        <f t="shared" si="4"/>
        <v>3.2328086216360581E-2</v>
      </c>
      <c r="K66">
        <f t="shared" si="5"/>
        <v>3.2328086216360581E-2</v>
      </c>
      <c r="L66">
        <f t="shared" si="6"/>
        <v>8.219640928430614E-6</v>
      </c>
      <c r="M66">
        <f t="shared" si="7"/>
        <v>5.0505193873178494E-6</v>
      </c>
    </row>
    <row r="67" spans="1:13" x14ac:dyDescent="0.25">
      <c r="A67" t="s">
        <v>4</v>
      </c>
      <c r="B67">
        <v>100</v>
      </c>
      <c r="C67">
        <v>85.442399999999992</v>
      </c>
      <c r="D67" cm="1">
        <f t="array" ref="D67">+LinInterp(C67,Sheet2!$C$51:$C$81,Sheet2!$D$51:$D$81)</f>
        <v>229.88029862649535</v>
      </c>
      <c r="E67">
        <v>63.262999999999998</v>
      </c>
      <c r="F67">
        <f t="shared" ref="F67:F82" si="8">+$R$3*B67+$S$3</f>
        <v>9550</v>
      </c>
      <c r="G67">
        <f t="shared" ref="G67:G81" si="9">+(C67/60)/(((F67/60)*2*PI())*(($P$6/1000)^3))</f>
        <v>2.7811232635869922</v>
      </c>
      <c r="H67">
        <f t="shared" ref="H67:H82" si="10">+((C67/60)*D67)/(1.2*(((F67/60)*2*PI())^3)*(($P$6/1000)^5))</f>
        <v>8.3233238222759368E-2</v>
      </c>
      <c r="I67">
        <f t="shared" ref="I67:I82" si="11">+D67/((((F67/60)*2*PI())^2)*(($P$6/1000)^2))</f>
        <v>3.5913505587842863E-2</v>
      </c>
      <c r="J67">
        <f t="shared" ref="J67:J81" si="12">+(10^(E67/20))*20*10^(-6)</f>
        <v>2.911923730324302E-2</v>
      </c>
      <c r="K67">
        <f t="shared" ref="K67:K81" si="13">+J67</f>
        <v>2.911923730324302E-2</v>
      </c>
      <c r="L67">
        <f t="shared" ref="L67:L81" si="14">+(J67)/(1.2*(((F67/60)*2*PI())^3)*(($P$6/1000)^5))</f>
        <v>7.4037687582412423E-6</v>
      </c>
      <c r="M67">
        <f t="shared" ref="M67:M81" si="15">+J67/((((F67/60)*2*PI())^2)*(($P$6/1000)^2))</f>
        <v>4.5492106015700449E-6</v>
      </c>
    </row>
    <row r="68" spans="1:13" x14ac:dyDescent="0.25">
      <c r="A68" t="s">
        <v>4</v>
      </c>
      <c r="B68">
        <v>100</v>
      </c>
      <c r="C68">
        <v>88.879199999999997</v>
      </c>
      <c r="D68" cm="1">
        <f t="array" ref="D68">+LinInterp(C68,Sheet2!$C$51:$C$81,Sheet2!$D$51:$D$81)</f>
        <v>227.69964270523181</v>
      </c>
      <c r="E68">
        <v>62.533999999999999</v>
      </c>
      <c r="F68">
        <f t="shared" si="8"/>
        <v>9550</v>
      </c>
      <c r="G68">
        <f t="shared" si="9"/>
        <v>2.8929900233256673</v>
      </c>
      <c r="H68">
        <f t="shared" si="10"/>
        <v>8.5759864457375656E-2</v>
      </c>
      <c r="I68">
        <f t="shared" si="11"/>
        <v>3.5572828291522203E-2</v>
      </c>
      <c r="J68">
        <f t="shared" si="12"/>
        <v>2.6775031822174007E-2</v>
      </c>
      <c r="K68">
        <f t="shared" si="13"/>
        <v>2.6775031822174007E-2</v>
      </c>
      <c r="L68">
        <f t="shared" si="14"/>
        <v>6.8077381986872774E-6</v>
      </c>
      <c r="M68">
        <f t="shared" si="15"/>
        <v>4.1829824508914531E-6</v>
      </c>
    </row>
    <row r="69" spans="1:13" x14ac:dyDescent="0.25">
      <c r="A69" t="s">
        <v>4</v>
      </c>
      <c r="B69">
        <v>100</v>
      </c>
      <c r="C69">
        <v>90.570599999999999</v>
      </c>
      <c r="D69" cm="1">
        <f t="array" ref="D69">+LinInterp(C69,Sheet2!$C$51:$C$81,Sheet2!$D$51:$D$81)</f>
        <v>227.08212462781796</v>
      </c>
      <c r="E69">
        <v>61.918999999999997</v>
      </c>
      <c r="F69">
        <f t="shared" si="8"/>
        <v>9550</v>
      </c>
      <c r="G69">
        <f t="shared" si="9"/>
        <v>2.9480445616816948</v>
      </c>
      <c r="H69">
        <f t="shared" si="10"/>
        <v>8.7154896937952614E-2</v>
      </c>
      <c r="I69">
        <f t="shared" si="11"/>
        <v>3.5476355305118834E-2</v>
      </c>
      <c r="J69">
        <f t="shared" si="12"/>
        <v>2.4944798243504891E-2</v>
      </c>
      <c r="K69">
        <f t="shared" si="13"/>
        <v>2.4944798243504891E-2</v>
      </c>
      <c r="L69">
        <f t="shared" si="14"/>
        <v>6.3423885726335299E-6</v>
      </c>
      <c r="M69">
        <f t="shared" si="15"/>
        <v>3.8970505800555453E-6</v>
      </c>
    </row>
    <row r="70" spans="1:13" x14ac:dyDescent="0.25">
      <c r="A70" t="s">
        <v>4</v>
      </c>
      <c r="B70">
        <v>100</v>
      </c>
      <c r="C70">
        <v>97.055999999999997</v>
      </c>
      <c r="D70" cm="1">
        <f t="array" ref="D70">+LinInterp(C70,Sheet2!$C$51:$C$81,Sheet2!$D$51:$D$81)</f>
        <v>225.19274923443348</v>
      </c>
      <c r="E70">
        <v>60.076999999999998</v>
      </c>
      <c r="F70">
        <f t="shared" si="8"/>
        <v>9550</v>
      </c>
      <c r="G70">
        <f t="shared" si="9"/>
        <v>3.1591422931787863</v>
      </c>
      <c r="H70">
        <f t="shared" si="10"/>
        <v>9.2618638284547847E-2</v>
      </c>
      <c r="I70">
        <f t="shared" si="11"/>
        <v>3.5181183886979626E-2</v>
      </c>
      <c r="J70">
        <f t="shared" si="12"/>
        <v>2.0178087253408573E-2</v>
      </c>
      <c r="K70">
        <f t="shared" si="13"/>
        <v>2.0178087253408573E-2</v>
      </c>
      <c r="L70">
        <f t="shared" si="14"/>
        <v>5.1304191264382525E-6</v>
      </c>
      <c r="M70">
        <f t="shared" si="15"/>
        <v>3.1523617015335943E-6</v>
      </c>
    </row>
    <row r="71" spans="1:13" x14ac:dyDescent="0.25">
      <c r="A71" t="s">
        <v>4</v>
      </c>
      <c r="B71">
        <v>100</v>
      </c>
      <c r="C71">
        <v>103.82340000000001</v>
      </c>
      <c r="D71" cm="1">
        <f t="array" ref="D71">+LinInterp(C71,Sheet2!$C$51:$C$81,Sheet2!$D$51:$D$81)</f>
        <v>214.88088465628928</v>
      </c>
      <c r="E71">
        <v>58.847999999999999</v>
      </c>
      <c r="F71">
        <f t="shared" si="8"/>
        <v>9550</v>
      </c>
      <c r="G71">
        <f t="shared" si="9"/>
        <v>3.3794190360371168</v>
      </c>
      <c r="H71">
        <f t="shared" si="10"/>
        <v>9.4539789341706967E-2</v>
      </c>
      <c r="I71">
        <f t="shared" si="11"/>
        <v>3.3570192391140424E-2</v>
      </c>
      <c r="J71">
        <f t="shared" si="12"/>
        <v>1.7515800726127385E-2</v>
      </c>
      <c r="K71">
        <f t="shared" si="13"/>
        <v>1.7515800726127385E-2</v>
      </c>
      <c r="L71">
        <f t="shared" si="14"/>
        <v>4.4535142469970662E-6</v>
      </c>
      <c r="M71">
        <f t="shared" si="15"/>
        <v>2.7364407085419321E-6</v>
      </c>
    </row>
    <row r="72" spans="1:13" x14ac:dyDescent="0.25">
      <c r="A72" t="s">
        <v>4</v>
      </c>
      <c r="B72">
        <v>100</v>
      </c>
      <c r="C72">
        <v>106.8468</v>
      </c>
      <c r="D72" cm="1">
        <f t="array" ref="D72">+LinInterp(C72,Sheet2!$C$51:$C$81,Sheet2!$D$51:$D$81)</f>
        <v>206.84013227268525</v>
      </c>
      <c r="E72">
        <v>58.463000000000001</v>
      </c>
      <c r="F72">
        <f t="shared" si="8"/>
        <v>9550</v>
      </c>
      <c r="G72">
        <f t="shared" si="9"/>
        <v>3.4778297557164435</v>
      </c>
      <c r="H72">
        <f t="shared" si="10"/>
        <v>9.3652187637341844E-2</v>
      </c>
      <c r="I72">
        <f t="shared" si="11"/>
        <v>3.2314009902321694E-2</v>
      </c>
      <c r="J72">
        <f t="shared" si="12"/>
        <v>1.6756372089083975E-2</v>
      </c>
      <c r="K72">
        <f t="shared" si="13"/>
        <v>1.6756372089083975E-2</v>
      </c>
      <c r="L72">
        <f t="shared" si="14"/>
        <v>4.260424230301143E-6</v>
      </c>
      <c r="M72">
        <f t="shared" si="15"/>
        <v>2.6177974635009983E-6</v>
      </c>
    </row>
    <row r="73" spans="1:13" x14ac:dyDescent="0.25">
      <c r="A73" t="s">
        <v>4</v>
      </c>
      <c r="B73">
        <v>100</v>
      </c>
      <c r="C73">
        <v>110.592</v>
      </c>
      <c r="D73" cm="1">
        <f t="array" ref="D73">+LinInterp(C73,Sheet2!$C$51:$C$81,Sheet2!$D$51:$D$81)</f>
        <v>196.59085589313159</v>
      </c>
      <c r="E73">
        <v>58.234000000000002</v>
      </c>
      <c r="F73">
        <f t="shared" si="8"/>
        <v>9550</v>
      </c>
      <c r="G73">
        <f t="shared" si="9"/>
        <v>3.5997348385182608</v>
      </c>
      <c r="H73">
        <f t="shared" si="10"/>
        <v>9.2131602573664359E-2</v>
      </c>
      <c r="I73">
        <f t="shared" si="11"/>
        <v>3.0712796371942099E-2</v>
      </c>
      <c r="J73">
        <f t="shared" si="12"/>
        <v>1.6320369820394743E-2</v>
      </c>
      <c r="K73">
        <f t="shared" si="13"/>
        <v>1.6320369820394743E-2</v>
      </c>
      <c r="L73">
        <f t="shared" si="14"/>
        <v>4.1495676188512225E-6</v>
      </c>
      <c r="M73">
        <f t="shared" si="15"/>
        <v>2.5496821443264558E-6</v>
      </c>
    </row>
    <row r="74" spans="1:13" x14ac:dyDescent="0.25">
      <c r="A74" t="s">
        <v>4</v>
      </c>
      <c r="B74">
        <v>100</v>
      </c>
      <c r="C74">
        <v>113.94539999999999</v>
      </c>
      <c r="D74" cm="1">
        <f t="array" ref="D74">+LinInterp(C74,Sheet2!$C$51:$C$81,Sheet2!$D$51:$D$81)</f>
        <v>184.42706702919972</v>
      </c>
      <c r="E74">
        <v>58.264000000000003</v>
      </c>
      <c r="F74">
        <f t="shared" si="8"/>
        <v>9550</v>
      </c>
      <c r="G74">
        <f t="shared" si="9"/>
        <v>3.7088869544713781</v>
      </c>
      <c r="H74">
        <f t="shared" si="10"/>
        <v>8.9051872719259434E-2</v>
      </c>
      <c r="I74">
        <f t="shared" si="11"/>
        <v>2.8812484331526955E-2</v>
      </c>
      <c r="J74">
        <f t="shared" si="12"/>
        <v>1.6376835838010258E-2</v>
      </c>
      <c r="K74">
        <f t="shared" si="13"/>
        <v>1.6376835838010258E-2</v>
      </c>
      <c r="L74">
        <f t="shared" si="14"/>
        <v>4.163924496841207E-6</v>
      </c>
      <c r="M74">
        <f t="shared" si="15"/>
        <v>2.5585036599207646E-6</v>
      </c>
    </row>
    <row r="75" spans="1:13" x14ac:dyDescent="0.25">
      <c r="A75" t="s">
        <v>4</v>
      </c>
      <c r="B75">
        <v>100</v>
      </c>
      <c r="C75">
        <v>117.64320000000001</v>
      </c>
      <c r="D75" cm="1">
        <f t="array" ref="D75">+LinInterp(C75,Sheet2!$C$51:$C$81,Sheet2!$D$51:$D$81)</f>
        <v>170.01580263332889</v>
      </c>
      <c r="E75">
        <v>58.234000000000002</v>
      </c>
      <c r="F75">
        <f t="shared" si="8"/>
        <v>9550</v>
      </c>
      <c r="G75">
        <f t="shared" si="9"/>
        <v>3.8292491821720511</v>
      </c>
      <c r="H75">
        <f t="shared" si="10"/>
        <v>8.4757418204445586E-2</v>
      </c>
      <c r="I75">
        <f t="shared" si="11"/>
        <v>2.6561055968586173E-2</v>
      </c>
      <c r="J75">
        <f t="shared" si="12"/>
        <v>1.6320369820394743E-2</v>
      </c>
      <c r="K75">
        <f t="shared" si="13"/>
        <v>1.6320369820394743E-2</v>
      </c>
      <c r="L75">
        <f t="shared" si="14"/>
        <v>4.1495676188512225E-6</v>
      </c>
      <c r="M75">
        <f t="shared" si="15"/>
        <v>2.5496821443264558E-6</v>
      </c>
    </row>
    <row r="76" spans="1:13" x14ac:dyDescent="0.25">
      <c r="A76" t="s">
        <v>4</v>
      </c>
      <c r="B76">
        <v>100</v>
      </c>
      <c r="C76">
        <v>124.13039999999998</v>
      </c>
      <c r="D76" cm="1">
        <f t="array" ref="D76">+LinInterp(C76,Sheet2!$C$51:$C$81,Sheet2!$D$51:$D$81)</f>
        <v>144.52942546000759</v>
      </c>
      <c r="E76">
        <v>58.234000000000002</v>
      </c>
      <c r="F76">
        <f t="shared" si="8"/>
        <v>9550</v>
      </c>
      <c r="G76">
        <f t="shared" si="9"/>
        <v>4.0404055031033623</v>
      </c>
      <c r="H76">
        <f t="shared" si="10"/>
        <v>7.6024930371127522E-2</v>
      </c>
      <c r="I76">
        <f t="shared" si="11"/>
        <v>2.2579396146075181E-2</v>
      </c>
      <c r="J76">
        <f t="shared" si="12"/>
        <v>1.6320369820394743E-2</v>
      </c>
      <c r="K76">
        <f t="shared" si="13"/>
        <v>1.6320369820394743E-2</v>
      </c>
      <c r="L76">
        <f t="shared" si="14"/>
        <v>4.1495676188512225E-6</v>
      </c>
      <c r="M76">
        <f t="shared" si="15"/>
        <v>2.5496821443264558E-6</v>
      </c>
    </row>
    <row r="77" spans="1:13" x14ac:dyDescent="0.25">
      <c r="A77" t="s">
        <v>4</v>
      </c>
      <c r="B77">
        <v>100</v>
      </c>
      <c r="C77">
        <v>131.1816</v>
      </c>
      <c r="D77" cm="1">
        <f t="array" ref="D77">+LinInterp(C77,Sheet2!$C$51:$C$81,Sheet2!$D$51:$D$81)</f>
        <v>115.35340899878396</v>
      </c>
      <c r="E77">
        <v>58.029000000000003</v>
      </c>
      <c r="F77">
        <f t="shared" si="8"/>
        <v>9550</v>
      </c>
      <c r="G77">
        <f t="shared" si="9"/>
        <v>4.2699198467571531</v>
      </c>
      <c r="H77">
        <f t="shared" si="10"/>
        <v>6.4124642536701193E-2</v>
      </c>
      <c r="I77">
        <f t="shared" si="11"/>
        <v>1.8021315107936222E-2</v>
      </c>
      <c r="J77">
        <f t="shared" si="12"/>
        <v>1.5939694581007146E-2</v>
      </c>
      <c r="K77">
        <f t="shared" si="13"/>
        <v>1.5939694581007146E-2</v>
      </c>
      <c r="L77">
        <f t="shared" si="14"/>
        <v>4.0527782896849675E-6</v>
      </c>
      <c r="M77">
        <f t="shared" si="15"/>
        <v>2.4902104000378644E-6</v>
      </c>
    </row>
    <row r="78" spans="1:13" x14ac:dyDescent="0.25">
      <c r="A78" t="s">
        <v>4</v>
      </c>
      <c r="B78">
        <v>100</v>
      </c>
      <c r="C78">
        <v>138.2328</v>
      </c>
      <c r="D78" cm="1">
        <f t="array" ref="D78">+LinInterp(C78,Sheet2!$C$51:$C$81,Sheet2!$D$51:$D$81)</f>
        <v>84.180175578611369</v>
      </c>
      <c r="E78">
        <v>58.234000000000002</v>
      </c>
      <c r="F78">
        <f t="shared" si="8"/>
        <v>9550</v>
      </c>
      <c r="G78">
        <f t="shared" si="9"/>
        <v>4.4994341904109429</v>
      </c>
      <c r="H78">
        <f t="shared" si="10"/>
        <v>4.9310854931549915E-2</v>
      </c>
      <c r="I78">
        <f t="shared" si="11"/>
        <v>1.3151214889189319E-2</v>
      </c>
      <c r="J78">
        <f t="shared" si="12"/>
        <v>1.6320369820394743E-2</v>
      </c>
      <c r="K78">
        <f t="shared" si="13"/>
        <v>1.6320369820394743E-2</v>
      </c>
      <c r="L78">
        <f t="shared" si="14"/>
        <v>4.1495676188512225E-6</v>
      </c>
      <c r="M78">
        <f t="shared" si="15"/>
        <v>2.5496821443264558E-6</v>
      </c>
    </row>
    <row r="79" spans="1:13" x14ac:dyDescent="0.25">
      <c r="A79" t="s">
        <v>4</v>
      </c>
      <c r="B79">
        <v>100</v>
      </c>
      <c r="C79">
        <v>145.0026</v>
      </c>
      <c r="D79" cm="1">
        <f t="array" ref="D79">+LinInterp(C79,Sheet2!$C$51:$C$81,Sheet2!$D$51:$D$81)</f>
        <v>52.580383080606516</v>
      </c>
      <c r="E79">
        <v>58.643999999999998</v>
      </c>
      <c r="F79">
        <f t="shared" si="8"/>
        <v>9550</v>
      </c>
      <c r="G79">
        <f t="shared" si="9"/>
        <v>4.7197890525149013</v>
      </c>
      <c r="H79">
        <f t="shared" si="10"/>
        <v>3.2308822868818081E-2</v>
      </c>
      <c r="I79">
        <f t="shared" si="11"/>
        <v>8.2144746324887326E-3</v>
      </c>
      <c r="J79">
        <f t="shared" si="12"/>
        <v>1.7109211526829114E-2</v>
      </c>
      <c r="K79">
        <f t="shared" si="13"/>
        <v>1.7109211526829114E-2</v>
      </c>
      <c r="L79">
        <f t="shared" si="14"/>
        <v>4.350136113158801E-6</v>
      </c>
      <c r="M79">
        <f t="shared" si="15"/>
        <v>2.6729205044696375E-6</v>
      </c>
    </row>
    <row r="80" spans="1:13" x14ac:dyDescent="0.25">
      <c r="A80" t="s">
        <v>4</v>
      </c>
      <c r="B80">
        <v>100</v>
      </c>
      <c r="C80">
        <v>151.45439999999999</v>
      </c>
      <c r="D80" cm="1">
        <f t="array" ref="D80">+LinInterp(C80,Sheet2!$C$51:$C$81,Sheet2!$D$51:$D$81)</f>
        <v>22.830669693530112</v>
      </c>
      <c r="E80">
        <v>58.847999999999999</v>
      </c>
      <c r="F80">
        <f t="shared" si="8"/>
        <v>9550</v>
      </c>
      <c r="G80">
        <f t="shared" si="9"/>
        <v>4.9297931145732061</v>
      </c>
      <c r="H80">
        <f t="shared" si="10"/>
        <v>1.4652851411225356E-2</v>
      </c>
      <c r="I80">
        <f t="shared" si="11"/>
        <v>3.5667666542620615E-3</v>
      </c>
      <c r="J80">
        <f t="shared" si="12"/>
        <v>1.7515800726127385E-2</v>
      </c>
      <c r="K80">
        <f t="shared" si="13"/>
        <v>1.7515800726127385E-2</v>
      </c>
      <c r="L80">
        <f t="shared" si="14"/>
        <v>4.4535142469970662E-6</v>
      </c>
      <c r="M80">
        <f t="shared" si="15"/>
        <v>2.7364407085419321E-6</v>
      </c>
    </row>
    <row r="81" spans="1:13" x14ac:dyDescent="0.25">
      <c r="A81" t="s">
        <v>4</v>
      </c>
      <c r="B81">
        <v>100</v>
      </c>
      <c r="C81">
        <v>156.14399999999998</v>
      </c>
      <c r="D81" cm="1">
        <f t="array" ref="D81">+LinInterp(C81,Sheet2!$C$51:$C$81,Sheet2!$D$51:$D$81)</f>
        <v>0</v>
      </c>
      <c r="E81">
        <v>59.079000000000001</v>
      </c>
      <c r="F81">
        <f t="shared" si="8"/>
        <v>9550</v>
      </c>
      <c r="G81">
        <f t="shared" si="9"/>
        <v>5.0824381205294715</v>
      </c>
      <c r="H81">
        <f t="shared" si="10"/>
        <v>0</v>
      </c>
      <c r="I81">
        <f t="shared" si="11"/>
        <v>0</v>
      </c>
      <c r="J81">
        <f t="shared" si="12"/>
        <v>1.7987880580099831E-2</v>
      </c>
      <c r="K81">
        <f t="shared" si="13"/>
        <v>1.7987880580099831E-2</v>
      </c>
      <c r="L81">
        <f t="shared" si="14"/>
        <v>4.5735438356101926E-6</v>
      </c>
      <c r="M81">
        <f t="shared" si="15"/>
        <v>2.8101923200321105E-6</v>
      </c>
    </row>
    <row r="82" spans="1:13" x14ac:dyDescent="0.25">
      <c r="A82" t="s">
        <v>17</v>
      </c>
      <c r="B82">
        <v>0</v>
      </c>
      <c r="C82">
        <v>0.66539999999999999</v>
      </c>
      <c r="D82" cm="1">
        <f t="array" ref="D82">+LinInterp(C82,Sheet2!$J$4:$J$17,Sheet2!$K$4:$K$17)</f>
        <v>112.29962973083754</v>
      </c>
      <c r="E82">
        <v>52.856999999999999</v>
      </c>
      <c r="F82">
        <v>3000</v>
      </c>
      <c r="G82">
        <f t="shared" ref="G82:G100" si="16">+(C82/60)/(((F82/60)*2*PI())*(($P$6/1000)^3))</f>
        <v>6.8946418706606213E-2</v>
      </c>
      <c r="H82">
        <f t="shared" ref="H82:H100" si="17">+((C82/60)*D82)/(1.2*(((F82/60)*2*PI())^3)*(($P$6/1000)^5))</f>
        <v>1.0214781267765101E-2</v>
      </c>
      <c r="I82">
        <f t="shared" ref="I82:I100" si="18">+D82/((((F82/60)*2*PI())^2)*(($P$6/1000)^2))</f>
        <v>0.17778642823319882</v>
      </c>
      <c r="J82">
        <f t="shared" ref="J82:J100" si="19">+(10^(E82/20))*20*10^(-6)</f>
        <v>8.7877965871228543E-3</v>
      </c>
      <c r="K82">
        <f t="shared" ref="K82:K100" si="20">+J82</f>
        <v>8.7877965871228543E-3</v>
      </c>
      <c r="L82">
        <f t="shared" ref="L82:L100" si="21">+(J82)/(1.2*(((F82/60)*2*PI())^3)*(($P$6/1000)^5))</f>
        <v>7.2077413996771673E-5</v>
      </c>
      <c r="M82">
        <f t="shared" ref="M82:M100" si="22">+J82/((((F82/60)*2*PI())^2)*(($P$6/1000)^2))</f>
        <v>1.3912342997115372E-5</v>
      </c>
    </row>
    <row r="83" spans="1:13" x14ac:dyDescent="0.25">
      <c r="A83" t="s">
        <v>17</v>
      </c>
      <c r="B83">
        <v>0</v>
      </c>
      <c r="C83">
        <v>9.835799999999999</v>
      </c>
      <c r="D83" cm="1">
        <f t="array" ref="D83">+LinInterp(C83,Sheet2!$J$4:$J$17,Sheet2!$K$4:$K$17)</f>
        <v>101.99230711422845</v>
      </c>
      <c r="E83">
        <v>52.484000000000002</v>
      </c>
      <c r="F83">
        <v>3000</v>
      </c>
      <c r="G83">
        <f t="shared" si="16"/>
        <v>1.0191511648849374</v>
      </c>
      <c r="H83">
        <f t="shared" si="17"/>
        <v>0.13713397211748407</v>
      </c>
      <c r="I83">
        <f t="shared" si="18"/>
        <v>0.16146845748791333</v>
      </c>
      <c r="J83">
        <f t="shared" si="19"/>
        <v>8.4184084955367337E-3</v>
      </c>
      <c r="K83">
        <f t="shared" si="20"/>
        <v>8.4184084955367337E-3</v>
      </c>
      <c r="L83">
        <f t="shared" si="21"/>
        <v>6.9047696804438793E-5</v>
      </c>
      <c r="M83">
        <f t="shared" si="22"/>
        <v>1.3327548643007715E-5</v>
      </c>
    </row>
    <row r="84" spans="1:13" x14ac:dyDescent="0.25">
      <c r="A84" t="s">
        <v>17</v>
      </c>
      <c r="B84">
        <v>0</v>
      </c>
      <c r="C84">
        <v>19.803600000000003</v>
      </c>
      <c r="D84" cm="1">
        <f t="array" ref="D84">+LinInterp(C84,Sheet2!$J$4:$J$17,Sheet2!$K$4:$K$17)</f>
        <v>92.910507922590341</v>
      </c>
      <c r="E84">
        <v>52.235999999999997</v>
      </c>
      <c r="F84">
        <v>3000</v>
      </c>
      <c r="G84">
        <f t="shared" si="16"/>
        <v>2.0519797076918351</v>
      </c>
      <c r="H84">
        <f t="shared" si="17"/>
        <v>0.25152255182706595</v>
      </c>
      <c r="I84">
        <f t="shared" si="18"/>
        <v>0.14709066618011959</v>
      </c>
      <c r="J84">
        <f t="shared" si="19"/>
        <v>8.1814446324333483E-3</v>
      </c>
      <c r="K84">
        <f t="shared" si="20"/>
        <v>8.1814446324333483E-3</v>
      </c>
      <c r="L84">
        <f t="shared" si="21"/>
        <v>6.7104121723490215E-5</v>
      </c>
      <c r="M84">
        <f t="shared" si="22"/>
        <v>1.2952400844724965E-5</v>
      </c>
    </row>
    <row r="85" spans="1:13" x14ac:dyDescent="0.25">
      <c r="A85" t="s">
        <v>17</v>
      </c>
      <c r="B85">
        <v>0</v>
      </c>
      <c r="C85">
        <v>25.087800000000001</v>
      </c>
      <c r="D85" cm="1">
        <f t="array" ref="D85">+LinInterp(C85,Sheet2!$J$4:$J$17,Sheet2!$K$4:$K$17)</f>
        <v>88.100772843990725</v>
      </c>
      <c r="E85">
        <v>51.381999999999998</v>
      </c>
      <c r="F85">
        <v>3000</v>
      </c>
      <c r="G85">
        <f t="shared" si="16"/>
        <v>2.5995100138677416</v>
      </c>
      <c r="H85">
        <f t="shared" si="17"/>
        <v>0.30214140716893451</v>
      </c>
      <c r="I85">
        <f t="shared" si="18"/>
        <v>0.13947616538059168</v>
      </c>
      <c r="J85">
        <f t="shared" si="19"/>
        <v>7.4153216800062179E-3</v>
      </c>
      <c r="K85">
        <f t="shared" si="20"/>
        <v>7.4153216800062179E-3</v>
      </c>
      <c r="L85">
        <f t="shared" si="21"/>
        <v>6.0820389428703617E-5</v>
      </c>
      <c r="M85">
        <f t="shared" si="22"/>
        <v>1.1739518276670603E-5</v>
      </c>
    </row>
    <row r="86" spans="1:13" x14ac:dyDescent="0.25">
      <c r="A86" t="s">
        <v>17</v>
      </c>
      <c r="B86">
        <v>0</v>
      </c>
      <c r="C86">
        <v>28.576799999999999</v>
      </c>
      <c r="D86" cm="1">
        <f t="array" ref="D86">+LinInterp(C86,Sheet2!$J$4:$J$17,Sheet2!$K$4:$K$17)</f>
        <v>84.959807634505552</v>
      </c>
      <c r="E86">
        <v>51.241999999999997</v>
      </c>
      <c r="F86">
        <v>3000</v>
      </c>
      <c r="G86">
        <f t="shared" si="16"/>
        <v>2.9610279803049959</v>
      </c>
      <c r="H86">
        <f t="shared" si="17"/>
        <v>0.3318906871474247</v>
      </c>
      <c r="I86">
        <f t="shared" si="18"/>
        <v>0.1345035667430223</v>
      </c>
      <c r="J86">
        <f t="shared" si="19"/>
        <v>7.2967588859174353E-3</v>
      </c>
      <c r="K86">
        <f t="shared" si="20"/>
        <v>7.2967588859174353E-3</v>
      </c>
      <c r="L86">
        <f t="shared" si="21"/>
        <v>5.9847938654561485E-5</v>
      </c>
      <c r="M86">
        <f t="shared" si="22"/>
        <v>1.1551816360529693E-5</v>
      </c>
    </row>
    <row r="87" spans="1:13" x14ac:dyDescent="0.25">
      <c r="A87" t="s">
        <v>17</v>
      </c>
      <c r="B87">
        <v>0</v>
      </c>
      <c r="C87">
        <v>30.570600000000002</v>
      </c>
      <c r="D87" cm="1">
        <f t="array" ref="D87">+LinInterp(C87,Sheet2!$J$4:$J$17,Sheet2!$K$4:$K$17)</f>
        <v>84.93590843614956</v>
      </c>
      <c r="E87">
        <v>51.118000000000002</v>
      </c>
      <c r="F87">
        <v>3000</v>
      </c>
      <c r="G87">
        <f t="shared" si="16"/>
        <v>3.1676185568262336</v>
      </c>
      <c r="H87">
        <f t="shared" si="17"/>
        <v>0.35494678700083349</v>
      </c>
      <c r="I87">
        <f t="shared" si="18"/>
        <v>0.13446573088262334</v>
      </c>
      <c r="J87">
        <f t="shared" si="19"/>
        <v>7.1933301869229584E-3</v>
      </c>
      <c r="K87">
        <f t="shared" si="20"/>
        <v>7.1933301869229584E-3</v>
      </c>
      <c r="L87">
        <f t="shared" si="21"/>
        <v>5.8999617567168962E-5</v>
      </c>
      <c r="M87">
        <f t="shared" si="22"/>
        <v>1.1388073888581138E-5</v>
      </c>
    </row>
    <row r="88" spans="1:13" x14ac:dyDescent="0.25">
      <c r="A88" t="s">
        <v>17</v>
      </c>
      <c r="B88">
        <v>0</v>
      </c>
      <c r="C88">
        <v>39.742799999999995</v>
      </c>
      <c r="D88" cm="1">
        <f t="array" ref="D88">+LinInterp(C88,Sheet2!$J$4:$J$17,Sheet2!$K$4:$K$17)</f>
        <v>81.34561282645457</v>
      </c>
      <c r="E88">
        <v>50</v>
      </c>
      <c r="F88">
        <v>3000</v>
      </c>
      <c r="G88">
        <f t="shared" si="16"/>
        <v>4.1180098127035007</v>
      </c>
      <c r="H88">
        <f t="shared" si="17"/>
        <v>0.44193718704317286</v>
      </c>
      <c r="I88">
        <f t="shared" si="18"/>
        <v>0.12878177774512045</v>
      </c>
      <c r="J88">
        <f t="shared" si="19"/>
        <v>6.3245553203367649E-3</v>
      </c>
      <c r="K88">
        <f t="shared" si="20"/>
        <v>6.3245553203367649E-3</v>
      </c>
      <c r="L88">
        <f t="shared" si="21"/>
        <v>5.187393536593531E-5</v>
      </c>
      <c r="M88">
        <f t="shared" si="22"/>
        <v>1.0012678610436963E-5</v>
      </c>
    </row>
    <row r="89" spans="1:13" x14ac:dyDescent="0.25">
      <c r="A89" t="s">
        <v>17</v>
      </c>
      <c r="B89">
        <v>0</v>
      </c>
      <c r="C89">
        <v>45.5244</v>
      </c>
      <c r="D89" cm="1">
        <f t="array" ref="D89">+LinInterp(C89,Sheet2!$J$4:$J$17,Sheet2!$K$4:$K$17)</f>
        <v>76.970661990355097</v>
      </c>
      <c r="E89">
        <v>49.856000000000002</v>
      </c>
      <c r="F89">
        <v>3000</v>
      </c>
      <c r="G89">
        <f t="shared" si="16"/>
        <v>4.7170789656853378</v>
      </c>
      <c r="H89">
        <f t="shared" si="17"/>
        <v>0.47900208397862443</v>
      </c>
      <c r="I89">
        <f t="shared" si="18"/>
        <v>0.1218556027905793</v>
      </c>
      <c r="J89">
        <f t="shared" si="19"/>
        <v>6.2205673373702886E-3</v>
      </c>
      <c r="K89">
        <f t="shared" si="20"/>
        <v>6.2205673373702886E-3</v>
      </c>
      <c r="L89">
        <f t="shared" si="21"/>
        <v>5.1021027037362141E-5</v>
      </c>
      <c r="M89">
        <f t="shared" si="22"/>
        <v>9.8480507117066095E-6</v>
      </c>
    </row>
    <row r="90" spans="1:13" x14ac:dyDescent="0.25">
      <c r="A90" t="s">
        <v>17</v>
      </c>
      <c r="B90">
        <v>0</v>
      </c>
      <c r="C90">
        <v>49.710599999999999</v>
      </c>
      <c r="D90" cm="1">
        <f t="array" ref="D90">+LinInterp(C90,Sheet2!$J$4:$J$17,Sheet2!$K$4:$K$17)</f>
        <v>73.70607623857623</v>
      </c>
      <c r="E90">
        <v>49.503</v>
      </c>
      <c r="F90">
        <v>3000</v>
      </c>
      <c r="G90">
        <f t="shared" si="16"/>
        <v>5.1508383555103974</v>
      </c>
      <c r="H90">
        <f t="shared" si="17"/>
        <v>0.50086449598308536</v>
      </c>
      <c r="I90">
        <f t="shared" si="18"/>
        <v>0.11668729509570203</v>
      </c>
      <c r="J90">
        <f t="shared" si="19"/>
        <v>5.9728278232658695E-3</v>
      </c>
      <c r="K90">
        <f t="shared" si="20"/>
        <v>5.9728278232658695E-3</v>
      </c>
      <c r="L90">
        <f t="shared" si="21"/>
        <v>4.8989070181689231E-5</v>
      </c>
      <c r="M90">
        <f t="shared" si="22"/>
        <v>9.4558435116435258E-6</v>
      </c>
    </row>
    <row r="91" spans="1:13" x14ac:dyDescent="0.25">
      <c r="A91" t="s">
        <v>17</v>
      </c>
      <c r="B91">
        <v>0</v>
      </c>
      <c r="C91">
        <v>54.379799999999996</v>
      </c>
      <c r="D91" cm="1">
        <f t="array" ref="D91">+LinInterp(C91,Sheet2!$J$4:$J$17,Sheet2!$K$4:$K$17)</f>
        <v>72.531664261664261</v>
      </c>
      <c r="E91">
        <v>48.917000000000002</v>
      </c>
      <c r="F91">
        <v>3000</v>
      </c>
      <c r="G91">
        <f t="shared" si="16"/>
        <v>5.6346445145499011</v>
      </c>
      <c r="H91">
        <f t="shared" si="17"/>
        <v>0.5391792858016824</v>
      </c>
      <c r="I91">
        <f t="shared" si="18"/>
        <v>0.11482803241469486</v>
      </c>
      <c r="J91">
        <f t="shared" si="19"/>
        <v>5.5831589946203335E-3</v>
      </c>
      <c r="K91">
        <f t="shared" si="20"/>
        <v>5.5831589946203335E-3</v>
      </c>
      <c r="L91">
        <f t="shared" si="21"/>
        <v>4.5793010600032835E-5</v>
      </c>
      <c r="M91">
        <f t="shared" si="22"/>
        <v>8.8389418405983851E-6</v>
      </c>
    </row>
    <row r="92" spans="1:13" x14ac:dyDescent="0.25">
      <c r="A92" t="s">
        <v>17</v>
      </c>
      <c r="B92">
        <v>0</v>
      </c>
      <c r="C92">
        <v>58.882800000000003</v>
      </c>
      <c r="D92" cm="1">
        <f t="array" ref="D92">+LinInterp(C92,Sheet2!$J$4:$J$17,Sheet2!$K$4:$K$17)</f>
        <v>71.399055435305442</v>
      </c>
      <c r="E92">
        <v>48.384999999999998</v>
      </c>
      <c r="F92">
        <v>3000</v>
      </c>
      <c r="G92">
        <f t="shared" si="16"/>
        <v>6.101229611387665</v>
      </c>
      <c r="H92">
        <f t="shared" si="17"/>
        <v>0.5747101539925128</v>
      </c>
      <c r="I92">
        <f t="shared" si="18"/>
        <v>0.11303495011953182</v>
      </c>
      <c r="J92">
        <f t="shared" si="19"/>
        <v>5.2514591997688525E-3</v>
      </c>
      <c r="K92">
        <f t="shared" si="20"/>
        <v>5.2514591997688525E-3</v>
      </c>
      <c r="L92">
        <f t="shared" si="21"/>
        <v>4.3072412416048019E-5</v>
      </c>
      <c r="M92">
        <f t="shared" si="22"/>
        <v>8.313813468281625E-6</v>
      </c>
    </row>
    <row r="93" spans="1:13" x14ac:dyDescent="0.25">
      <c r="A93" t="s">
        <v>17</v>
      </c>
      <c r="B93">
        <v>0</v>
      </c>
      <c r="C93">
        <v>62.9208</v>
      </c>
      <c r="D93" cm="1">
        <f t="array" ref="D93">+LinInterp(C93,Sheet2!$J$4:$J$17,Sheet2!$K$4:$K$17)</f>
        <v>69.925786935554584</v>
      </c>
      <c r="E93">
        <v>47.88</v>
      </c>
      <c r="F93">
        <v>3000</v>
      </c>
      <c r="G93">
        <f t="shared" si="16"/>
        <v>6.5196330360003429</v>
      </c>
      <c r="H93">
        <f t="shared" si="17"/>
        <v>0.6014500272103579</v>
      </c>
      <c r="I93">
        <f t="shared" si="18"/>
        <v>0.11070255467862981</v>
      </c>
      <c r="J93">
        <f t="shared" si="19"/>
        <v>4.9548441152665722E-3</v>
      </c>
      <c r="K93">
        <f t="shared" si="20"/>
        <v>4.9548441152665722E-3</v>
      </c>
      <c r="L93">
        <f t="shared" si="21"/>
        <v>4.0639578652612231E-5</v>
      </c>
      <c r="M93">
        <f t="shared" si="22"/>
        <v>7.8442292269075138E-6</v>
      </c>
    </row>
    <row r="94" spans="1:13" x14ac:dyDescent="0.25">
      <c r="A94" t="s">
        <v>17</v>
      </c>
      <c r="B94">
        <v>0</v>
      </c>
      <c r="C94">
        <v>68.054400000000001</v>
      </c>
      <c r="D94" cm="1">
        <f t="array" ref="D94">+LinInterp(C94,Sheet2!$J$4:$J$17,Sheet2!$K$4:$K$17)</f>
        <v>67.910971378468091</v>
      </c>
      <c r="E94">
        <v>47.390999999999998</v>
      </c>
      <c r="F94">
        <v>3000</v>
      </c>
      <c r="G94">
        <f t="shared" si="16"/>
        <v>7.0515586973652864</v>
      </c>
      <c r="H94">
        <f t="shared" si="17"/>
        <v>0.63177742360284161</v>
      </c>
      <c r="I94">
        <f t="shared" si="18"/>
        <v>0.1075128125369892</v>
      </c>
      <c r="J94">
        <f t="shared" si="19"/>
        <v>4.6836021389231536E-3</v>
      </c>
      <c r="K94">
        <f t="shared" si="20"/>
        <v>4.6836021389231536E-3</v>
      </c>
      <c r="L94">
        <f t="shared" si="21"/>
        <v>3.8414854852011839E-5</v>
      </c>
      <c r="M94">
        <f t="shared" si="22"/>
        <v>7.4148142566481062E-6</v>
      </c>
    </row>
    <row r="95" spans="1:13" x14ac:dyDescent="0.25">
      <c r="A95" t="s">
        <v>17</v>
      </c>
      <c r="B95">
        <v>0</v>
      </c>
      <c r="C95">
        <v>71.8416</v>
      </c>
      <c r="D95" cm="1">
        <f t="array" ref="D95">+LinInterp(C95,Sheet2!$J$4:$J$17,Sheet2!$K$4:$K$17)</f>
        <v>65.085250501001994</v>
      </c>
      <c r="E95">
        <v>47.530999999999999</v>
      </c>
      <c r="F95">
        <v>3000</v>
      </c>
      <c r="G95">
        <f t="shared" si="16"/>
        <v>7.443975103926241</v>
      </c>
      <c r="H95">
        <f t="shared" si="17"/>
        <v>0.63918493023428402</v>
      </c>
      <c r="I95">
        <f t="shared" si="18"/>
        <v>0.10303929091280592</v>
      </c>
      <c r="J95">
        <f t="shared" si="19"/>
        <v>4.7597045516070509E-3</v>
      </c>
      <c r="K95">
        <f t="shared" si="20"/>
        <v>4.7597045516070509E-3</v>
      </c>
      <c r="L95">
        <f t="shared" si="21"/>
        <v>3.9039046030174542E-5</v>
      </c>
      <c r="M95">
        <f t="shared" si="22"/>
        <v>7.5352952961976394E-6</v>
      </c>
    </row>
    <row r="96" spans="1:13" x14ac:dyDescent="0.25">
      <c r="A96" t="s">
        <v>17</v>
      </c>
      <c r="B96">
        <v>0</v>
      </c>
      <c r="C96">
        <v>76.07820000000001</v>
      </c>
      <c r="D96" cm="1">
        <f t="array" ref="D96">+LinInterp(C96,Sheet2!$J$4:$J$17,Sheet2!$K$4:$K$17)</f>
        <v>61.22929358717434</v>
      </c>
      <c r="E96">
        <v>47.390999999999998</v>
      </c>
      <c r="F96">
        <v>3000</v>
      </c>
      <c r="G96">
        <f t="shared" si="16"/>
        <v>7.8829567653215058</v>
      </c>
      <c r="H96">
        <f t="shared" si="17"/>
        <v>0.63677708739394623</v>
      </c>
      <c r="I96">
        <f t="shared" si="18"/>
        <v>9.6934757809948521E-2</v>
      </c>
      <c r="J96">
        <f t="shared" si="19"/>
        <v>4.6836021389231536E-3</v>
      </c>
      <c r="K96">
        <f t="shared" si="20"/>
        <v>4.6836021389231536E-3</v>
      </c>
      <c r="L96">
        <f t="shared" si="21"/>
        <v>3.8414854852011839E-5</v>
      </c>
      <c r="M96">
        <f t="shared" si="22"/>
        <v>7.4148142566481062E-6</v>
      </c>
    </row>
    <row r="97" spans="1:13" x14ac:dyDescent="0.25">
      <c r="A97" t="s">
        <v>17</v>
      </c>
      <c r="B97">
        <v>0</v>
      </c>
      <c r="C97">
        <v>78.022199999999998</v>
      </c>
      <c r="D97" cm="1">
        <f t="array" ref="D97">+LinInterp(C97,Sheet2!$J$4:$J$17,Sheet2!$K$4:$K$17)</f>
        <v>59.459954909819636</v>
      </c>
      <c r="E97">
        <v>47.143000000000001</v>
      </c>
      <c r="F97">
        <v>3000</v>
      </c>
      <c r="G97">
        <f t="shared" si="16"/>
        <v>8.0843872401721839</v>
      </c>
      <c r="H97">
        <f t="shared" si="17"/>
        <v>0.63417733708482649</v>
      </c>
      <c r="I97">
        <f t="shared" si="18"/>
        <v>9.4133640793483714E-2</v>
      </c>
      <c r="J97">
        <f t="shared" si="19"/>
        <v>4.5517667146066851E-3</v>
      </c>
      <c r="K97">
        <f t="shared" si="20"/>
        <v>4.5517667146066851E-3</v>
      </c>
      <c r="L97">
        <f t="shared" si="21"/>
        <v>3.7333542106127115E-5</v>
      </c>
      <c r="M97">
        <f t="shared" si="22"/>
        <v>7.2060998623085055E-6</v>
      </c>
    </row>
    <row r="98" spans="1:13" x14ac:dyDescent="0.25">
      <c r="A98" t="s">
        <v>17</v>
      </c>
      <c r="B98">
        <v>0</v>
      </c>
      <c r="C98">
        <v>79.368600000000001</v>
      </c>
      <c r="D98" cm="1">
        <f t="array" ref="D98">+LinInterp(C98,Sheet2!$J$4:$J$17,Sheet2!$K$4:$K$17)</f>
        <v>57.812658833173927</v>
      </c>
      <c r="E98">
        <v>46.738999999999997</v>
      </c>
      <c r="F98">
        <v>3000</v>
      </c>
      <c r="G98">
        <f t="shared" si="16"/>
        <v>8.2238964949761737</v>
      </c>
      <c r="H98">
        <f t="shared" si="17"/>
        <v>0.62724847418027785</v>
      </c>
      <c r="I98">
        <f t="shared" si="18"/>
        <v>9.1525734726372432E-2</v>
      </c>
      <c r="J98">
        <f t="shared" si="19"/>
        <v>4.3449021035903874E-3</v>
      </c>
      <c r="K98">
        <f t="shared" si="20"/>
        <v>4.3449021035903874E-3</v>
      </c>
      <c r="L98">
        <f t="shared" si="21"/>
        <v>3.5636840770168624E-5</v>
      </c>
      <c r="M98">
        <f t="shared" si="22"/>
        <v>6.8786034991540827E-6</v>
      </c>
    </row>
    <row r="99" spans="1:13" x14ac:dyDescent="0.25">
      <c r="A99" t="s">
        <v>17</v>
      </c>
      <c r="B99">
        <v>0</v>
      </c>
      <c r="C99">
        <v>82.209600000000009</v>
      </c>
      <c r="D99" cm="1">
        <f t="array" ref="D99">+LinInterp(C99,Sheet2!$J$4:$J$17,Sheet2!$K$4:$K$17)</f>
        <v>52.979969941248783</v>
      </c>
      <c r="E99">
        <v>46.521999999999998</v>
      </c>
      <c r="F99">
        <v>3000</v>
      </c>
      <c r="G99">
        <f t="shared" si="16"/>
        <v>8.5182709697965358</v>
      </c>
      <c r="H99">
        <f t="shared" si="17"/>
        <v>0.5953909008456304</v>
      </c>
      <c r="I99">
        <f t="shared" si="18"/>
        <v>8.3874894746606282E-2</v>
      </c>
      <c r="J99">
        <f t="shared" si="19"/>
        <v>4.2376979241732929E-3</v>
      </c>
      <c r="K99">
        <f t="shared" si="20"/>
        <v>4.2376979241732929E-3</v>
      </c>
      <c r="L99">
        <f t="shared" si="21"/>
        <v>3.4757553232567585E-5</v>
      </c>
      <c r="M99">
        <f t="shared" si="22"/>
        <v>6.7088838999361836E-6</v>
      </c>
    </row>
    <row r="100" spans="1:13" x14ac:dyDescent="0.25">
      <c r="A100" t="s">
        <v>17</v>
      </c>
      <c r="B100">
        <v>0</v>
      </c>
      <c r="C100">
        <v>85.100399999999993</v>
      </c>
      <c r="D100" cm="1">
        <f t="array" ref="D100">+LinInterp(C100,Sheet2!$J$4:$J$17,Sheet2!$K$4:$K$17)</f>
        <v>48.062568656920348</v>
      </c>
      <c r="E100">
        <v>46.398000000000003</v>
      </c>
      <c r="F100">
        <v>3000</v>
      </c>
      <c r="G100">
        <f t="shared" si="16"/>
        <v>8.8178055462874525</v>
      </c>
      <c r="H100">
        <f t="shared" si="17"/>
        <v>0.55912193372218555</v>
      </c>
      <c r="I100">
        <f t="shared" si="18"/>
        <v>7.6089942893910842E-2</v>
      </c>
      <c r="J100">
        <f t="shared" si="19"/>
        <v>4.1776302160467819E-3</v>
      </c>
      <c r="K100">
        <f t="shared" si="20"/>
        <v>4.1776302160467819E-3</v>
      </c>
      <c r="L100">
        <f t="shared" si="21"/>
        <v>3.4264878530377043E-5</v>
      </c>
      <c r="M100">
        <f t="shared" si="22"/>
        <v>6.6137880985914873E-6</v>
      </c>
    </row>
    <row r="101" spans="1:13" x14ac:dyDescent="0.25">
      <c r="A101" t="s">
        <v>17</v>
      </c>
      <c r="B101">
        <v>0</v>
      </c>
      <c r="C101">
        <v>87.193799999999996</v>
      </c>
      <c r="D101" cm="1">
        <f t="array" ref="D101">+LinInterp(C101,Sheet2!$J$4:$J$17,Sheet2!$K$4:$K$17)</f>
        <v>44.501586282279</v>
      </c>
      <c r="E101">
        <v>46.149000000000001</v>
      </c>
      <c r="F101">
        <v>3000</v>
      </c>
      <c r="G101">
        <f t="shared" ref="G101:G155" si="23">+(C101/60)/(((F101/60)*2*PI())*(($P$6/1000)^3))</f>
        <v>9.0347163261498054</v>
      </c>
      <c r="H101">
        <f t="shared" ref="H101:H155" si="24">+((C101/60)*D101)/(1.2*(((F101/60)*2*PI())^3)*(($P$6/1000)^5))</f>
        <v>0.53043118309156045</v>
      </c>
      <c r="I101">
        <f t="shared" ref="I101:I155" si="25">+D101/((((F101/60)*2*PI())^2)*(($P$6/1000)^2))</f>
        <v>7.0452396813783277E-2</v>
      </c>
      <c r="J101">
        <f t="shared" ref="J101:J155" si="26">+(10^(E101/20))*20*10^(-6)</f>
        <v>4.0595696375874844E-3</v>
      </c>
      <c r="K101">
        <f t="shared" ref="K101:K155" si="27">+J101</f>
        <v>4.0595696375874844E-3</v>
      </c>
      <c r="L101">
        <f t="shared" ref="L101:L155" si="28">+(J101)/(1.2*(((F101/60)*2*PI())^3)*(($P$6/1000)^5))</f>
        <v>3.3296546923478167E-5</v>
      </c>
      <c r="M101">
        <f t="shared" ref="M101:M155" si="29">+J101/((((F101/60)*2*PI())^2)*(($P$6/1000)^2))</f>
        <v>6.426881261857188E-6</v>
      </c>
    </row>
    <row r="102" spans="1:13" x14ac:dyDescent="0.25">
      <c r="A102" t="s">
        <v>17</v>
      </c>
      <c r="B102">
        <v>0</v>
      </c>
      <c r="C102">
        <v>89.585400000000007</v>
      </c>
      <c r="D102" cm="1">
        <f t="array" ref="D102">+LinInterp(C102,Sheet2!$J$4:$J$17,Sheet2!$K$4:$K$17)</f>
        <v>40.713357699139209</v>
      </c>
      <c r="E102">
        <v>46.335000000000001</v>
      </c>
      <c r="F102">
        <v>3000</v>
      </c>
      <c r="G102">
        <f t="shared" si="23"/>
        <v>9.282525546135858</v>
      </c>
      <c r="H102">
        <f t="shared" si="24"/>
        <v>0.49858832929650732</v>
      </c>
      <c r="I102">
        <f t="shared" si="25"/>
        <v>6.4455087377041712E-2</v>
      </c>
      <c r="J102">
        <f t="shared" si="26"/>
        <v>4.1474388898718913E-3</v>
      </c>
      <c r="K102">
        <f t="shared" si="27"/>
        <v>4.1474388898718913E-3</v>
      </c>
      <c r="L102">
        <f t="shared" si="28"/>
        <v>3.4017249594699594E-5</v>
      </c>
      <c r="M102">
        <f t="shared" si="29"/>
        <v>6.5659908969700521E-6</v>
      </c>
    </row>
    <row r="103" spans="1:13" x14ac:dyDescent="0.25">
      <c r="A103" t="s">
        <v>17</v>
      </c>
      <c r="B103">
        <v>0</v>
      </c>
      <c r="C103">
        <v>93.472799999999992</v>
      </c>
      <c r="D103" cm="1">
        <f t="array" ref="D103">+LinInterp(C103,Sheet2!$J$4:$J$17,Sheet2!$K$4:$K$17)</f>
        <v>34.653956824702846</v>
      </c>
      <c r="E103">
        <v>46.195999999999998</v>
      </c>
      <c r="F103">
        <v>3000</v>
      </c>
      <c r="G103">
        <f t="shared" si="23"/>
        <v>9.6853243259375734</v>
      </c>
      <c r="H103">
        <f t="shared" si="24"/>
        <v>0.44279838964261592</v>
      </c>
      <c r="I103">
        <f t="shared" si="25"/>
        <v>5.4862186302646263E-2</v>
      </c>
      <c r="J103">
        <f t="shared" si="26"/>
        <v>4.0815958121339846E-3</v>
      </c>
      <c r="K103">
        <f t="shared" si="27"/>
        <v>4.0815958121339846E-3</v>
      </c>
      <c r="L103">
        <f t="shared" si="28"/>
        <v>3.347720537247773E-5</v>
      </c>
      <c r="M103">
        <f t="shared" si="29"/>
        <v>6.4617518567972532E-6</v>
      </c>
    </row>
    <row r="104" spans="1:13" x14ac:dyDescent="0.25">
      <c r="A104" t="s">
        <v>17</v>
      </c>
      <c r="B104">
        <v>0</v>
      </c>
      <c r="C104">
        <v>96.761399999999995</v>
      </c>
      <c r="D104" cm="1">
        <f t="array" ref="D104">+LinInterp(C104,Sheet2!$J$4:$J$17,Sheet2!$K$4:$K$17)</f>
        <v>29.394123371976544</v>
      </c>
      <c r="E104">
        <v>46.398000000000003</v>
      </c>
      <c r="F104">
        <v>3000</v>
      </c>
      <c r="G104">
        <f t="shared" si="23"/>
        <v>10.026077545893306</v>
      </c>
      <c r="H104">
        <f t="shared" si="24"/>
        <v>0.38880389458730813</v>
      </c>
      <c r="I104">
        <f t="shared" si="25"/>
        <v>4.6535115190274499E-2</v>
      </c>
      <c r="J104">
        <f t="shared" si="26"/>
        <v>4.1776302160467819E-3</v>
      </c>
      <c r="K104">
        <f t="shared" si="27"/>
        <v>4.1776302160467819E-3</v>
      </c>
      <c r="L104">
        <f t="shared" si="28"/>
        <v>3.4264878530377043E-5</v>
      </c>
      <c r="M104">
        <f t="shared" si="29"/>
        <v>6.6137880985914873E-6</v>
      </c>
    </row>
    <row r="105" spans="1:13" x14ac:dyDescent="0.25">
      <c r="A105" t="s">
        <v>17</v>
      </c>
      <c r="B105">
        <v>0</v>
      </c>
      <c r="C105">
        <v>99.701399999999992</v>
      </c>
      <c r="D105" cm="1">
        <f t="array" ref="D105">+LinInterp(C105,Sheet2!$J$4:$J$17,Sheet2!$K$4:$K$17)</f>
        <v>23.720586804064713</v>
      </c>
      <c r="E105">
        <v>46.429000000000002</v>
      </c>
      <c r="F105">
        <v>3000</v>
      </c>
      <c r="G105">
        <f t="shared" si="23"/>
        <v>10.330710054155137</v>
      </c>
      <c r="H105">
        <f t="shared" si="24"/>
        <v>0.32329176011625449</v>
      </c>
      <c r="I105">
        <f t="shared" si="25"/>
        <v>3.7553092682478979E-2</v>
      </c>
      <c r="J105">
        <f t="shared" si="26"/>
        <v>4.1925668457011341E-3</v>
      </c>
      <c r="K105">
        <f t="shared" si="27"/>
        <v>4.1925668457011341E-3</v>
      </c>
      <c r="L105">
        <f t="shared" si="28"/>
        <v>3.4387388607691621E-5</v>
      </c>
      <c r="M105">
        <f t="shared" si="29"/>
        <v>6.6374349266572087E-6</v>
      </c>
    </row>
    <row r="106" spans="1:13" x14ac:dyDescent="0.25">
      <c r="A106" t="s">
        <v>17</v>
      </c>
      <c r="B106">
        <v>0</v>
      </c>
      <c r="C106">
        <v>102.24300000000001</v>
      </c>
      <c r="D106" cm="1">
        <f t="array" ref="D106">+LinInterp(C106,Sheet2!$J$4:$J$17,Sheet2!$K$4:$K$17)</f>
        <v>18.815872334335182</v>
      </c>
      <c r="E106">
        <v>46.398000000000003</v>
      </c>
      <c r="F106">
        <v>3000</v>
      </c>
      <c r="G106">
        <f t="shared" si="23"/>
        <v>10.594061749052509</v>
      </c>
      <c r="H106">
        <f t="shared" si="24"/>
        <v>0.26298192028660955</v>
      </c>
      <c r="I106">
        <f t="shared" si="25"/>
        <v>2.9788225877780586E-2</v>
      </c>
      <c r="J106">
        <f t="shared" si="26"/>
        <v>4.1776302160467819E-3</v>
      </c>
      <c r="K106">
        <f t="shared" si="27"/>
        <v>4.1776302160467819E-3</v>
      </c>
      <c r="L106">
        <f t="shared" si="28"/>
        <v>3.4264878530377043E-5</v>
      </c>
      <c r="M106">
        <f t="shared" si="29"/>
        <v>6.6137880985914873E-6</v>
      </c>
    </row>
    <row r="107" spans="1:13" x14ac:dyDescent="0.25">
      <c r="A107" t="s">
        <v>17</v>
      </c>
      <c r="B107">
        <v>0</v>
      </c>
      <c r="C107">
        <v>106.3296</v>
      </c>
      <c r="D107" cm="1">
        <f t="array" ref="D107">+LinInterp(C107,Sheet2!$J$4:$J$17,Sheet2!$K$4:$K$17)</f>
        <v>10.63728750627196</v>
      </c>
      <c r="E107">
        <v>46.273000000000003</v>
      </c>
      <c r="F107">
        <v>3000</v>
      </c>
      <c r="G107">
        <f t="shared" si="23"/>
        <v>11.017500935536454</v>
      </c>
      <c r="H107">
        <f t="shared" si="24"/>
        <v>0.15461549964574031</v>
      </c>
      <c r="I107">
        <f t="shared" si="25"/>
        <v>1.6840352513739474E-2</v>
      </c>
      <c r="J107">
        <f t="shared" si="26"/>
        <v>4.1179398215193223E-3</v>
      </c>
      <c r="K107">
        <f t="shared" si="27"/>
        <v>4.1179398215193223E-3</v>
      </c>
      <c r="L107">
        <f t="shared" si="28"/>
        <v>3.3775298550306643E-5</v>
      </c>
      <c r="M107">
        <f t="shared" si="29"/>
        <v>6.5192896388164816E-6</v>
      </c>
    </row>
    <row r="108" spans="1:13" x14ac:dyDescent="0.25">
      <c r="A108" t="s">
        <v>17</v>
      </c>
      <c r="B108">
        <v>0</v>
      </c>
      <c r="C108">
        <v>107.7756</v>
      </c>
      <c r="D108" cm="1">
        <f t="array" ref="D108">+LinInterp(C108,Sheet2!$J$4:$J$17,Sheet2!$K$4:$K$17)</f>
        <v>7.5730928248871177</v>
      </c>
      <c r="E108">
        <v>46.134</v>
      </c>
      <c r="F108">
        <v>3000</v>
      </c>
      <c r="G108">
        <f t="shared" si="23"/>
        <v>11.167330393681558</v>
      </c>
      <c r="H108">
        <f t="shared" si="24"/>
        <v>0.11157366006530876</v>
      </c>
      <c r="I108">
        <f t="shared" si="25"/>
        <v>1.1989292638294657E-2</v>
      </c>
      <c r="J108">
        <f t="shared" si="26"/>
        <v>4.0525650591688922E-3</v>
      </c>
      <c r="K108">
        <f t="shared" si="27"/>
        <v>4.0525650591688922E-3</v>
      </c>
      <c r="L108">
        <f t="shared" si="28"/>
        <v>3.3239095445904196E-5</v>
      </c>
      <c r="M108">
        <f t="shared" si="29"/>
        <v>6.4157920091026983E-6</v>
      </c>
    </row>
    <row r="109" spans="1:13" x14ac:dyDescent="0.25">
      <c r="A109" t="s">
        <v>17</v>
      </c>
      <c r="B109">
        <v>0</v>
      </c>
      <c r="C109">
        <v>111.3138</v>
      </c>
      <c r="D109" cm="1">
        <f t="array" ref="D109">+LinInterp(C109,Sheet2!$J$4:$J$17,Sheet2!$K$4:$K$17)</f>
        <v>0</v>
      </c>
      <c r="E109">
        <v>45.963000000000001</v>
      </c>
      <c r="F109">
        <v>3000</v>
      </c>
      <c r="G109">
        <f t="shared" si="23"/>
        <v>11.533946291889723</v>
      </c>
      <c r="H109">
        <f t="shared" si="24"/>
        <v>0</v>
      </c>
      <c r="I109">
        <f t="shared" si="25"/>
        <v>0</v>
      </c>
      <c r="J109">
        <f t="shared" si="26"/>
        <v>3.9735620174336586E-3</v>
      </c>
      <c r="K109">
        <f t="shared" si="27"/>
        <v>3.9735620174336586E-3</v>
      </c>
      <c r="L109">
        <f t="shared" si="28"/>
        <v>3.2591113339160987E-5</v>
      </c>
      <c r="M109">
        <f t="shared" si="29"/>
        <v>6.2907188575408414E-6</v>
      </c>
    </row>
    <row r="110" spans="1:13" x14ac:dyDescent="0.25">
      <c r="A110" t="s">
        <v>17</v>
      </c>
      <c r="B110">
        <v>50</v>
      </c>
      <c r="C110">
        <v>0.63300000000000001</v>
      </c>
      <c r="D110">
        <v>312</v>
      </c>
      <c r="E110">
        <v>65.900999999999996</v>
      </c>
      <c r="F110">
        <v>6600</v>
      </c>
      <c r="G110">
        <f t="shared" si="23"/>
        <v>2.9813292784437066E-2</v>
      </c>
      <c r="H110">
        <f t="shared" si="24"/>
        <v>2.5354684576143799E-3</v>
      </c>
      <c r="I110">
        <f t="shared" si="25"/>
        <v>0.10205387815214806</v>
      </c>
      <c r="J110">
        <f t="shared" si="26"/>
        <v>3.9452996654935998E-2</v>
      </c>
      <c r="K110">
        <f t="shared" si="27"/>
        <v>3.9452996654935998E-2</v>
      </c>
      <c r="L110">
        <f t="shared" si="28"/>
        <v>3.0390031770857899E-5</v>
      </c>
      <c r="M110">
        <f t="shared" si="29"/>
        <v>1.2904908055640845E-5</v>
      </c>
    </row>
    <row r="111" spans="1:13" x14ac:dyDescent="0.25">
      <c r="A111" t="s">
        <v>17</v>
      </c>
      <c r="B111">
        <v>50</v>
      </c>
      <c r="C111">
        <v>10.201799999999999</v>
      </c>
      <c r="D111" cm="1">
        <f t="array" ref="D111">+LinInterp(C111,Sheet2!$J$18:$J$41,Sheet2!$K$18:$K$41)</f>
        <v>302.37754247255617</v>
      </c>
      <c r="E111">
        <v>65.652000000000001</v>
      </c>
      <c r="F111">
        <v>6600</v>
      </c>
      <c r="G111">
        <f t="shared" si="23"/>
        <v>0.48048854712206956</v>
      </c>
      <c r="H111">
        <f t="shared" si="24"/>
        <v>3.9602832261136547E-2</v>
      </c>
      <c r="I111">
        <f t="shared" si="25"/>
        <v>9.8906413062308407E-2</v>
      </c>
      <c r="J111">
        <f t="shared" si="26"/>
        <v>3.8338047900222591E-2</v>
      </c>
      <c r="K111">
        <f t="shared" si="27"/>
        <v>3.8338047900222591E-2</v>
      </c>
      <c r="L111">
        <f t="shared" si="28"/>
        <v>2.9531204027683673E-5</v>
      </c>
      <c r="M111">
        <f t="shared" si="29"/>
        <v>1.2540213041668373E-5</v>
      </c>
    </row>
    <row r="112" spans="1:13" x14ac:dyDescent="0.25">
      <c r="A112" t="s">
        <v>17</v>
      </c>
      <c r="B112">
        <v>50</v>
      </c>
      <c r="C112">
        <v>19.770600000000002</v>
      </c>
      <c r="D112" cm="1">
        <f t="array" ref="D112">+LinInterp(C112,Sheet2!$J$18:$J$41,Sheet2!$K$18:$K$41)</f>
        <v>288.26616588098653</v>
      </c>
      <c r="E112">
        <v>65.28</v>
      </c>
      <c r="F112">
        <v>6600</v>
      </c>
      <c r="G112">
        <f t="shared" si="23"/>
        <v>0.93116380145970223</v>
      </c>
      <c r="H112">
        <f t="shared" si="24"/>
        <v>7.3166693534596733E-2</v>
      </c>
      <c r="I112">
        <f t="shared" si="25"/>
        <v>9.4290641564759942E-2</v>
      </c>
      <c r="J112">
        <f t="shared" si="26"/>
        <v>3.6730766866966962E-2</v>
      </c>
      <c r="K112">
        <f t="shared" si="27"/>
        <v>3.6730766866966962E-2</v>
      </c>
      <c r="L112">
        <f t="shared" si="28"/>
        <v>2.8293140361885433E-5</v>
      </c>
      <c r="M112">
        <f t="shared" si="29"/>
        <v>1.2014478225244883E-5</v>
      </c>
    </row>
    <row r="113" spans="1:13" x14ac:dyDescent="0.25">
      <c r="A113" t="s">
        <v>17</v>
      </c>
      <c r="B113">
        <v>50</v>
      </c>
      <c r="C113">
        <v>29.339399999999998</v>
      </c>
      <c r="D113" cm="1">
        <f t="array" ref="D113">+LinInterp(C113,Sheet2!$J$18:$J$41,Sheet2!$K$18:$K$41)</f>
        <v>276.88810167793639</v>
      </c>
      <c r="E113">
        <v>65.155000000000001</v>
      </c>
      <c r="F113">
        <v>6600</v>
      </c>
      <c r="G113">
        <f t="shared" si="23"/>
        <v>1.3818390557973346</v>
      </c>
      <c r="H113">
        <f t="shared" si="24"/>
        <v>0.10429306480345731</v>
      </c>
      <c r="I113">
        <f t="shared" si="25"/>
        <v>9.0568924969293918E-2</v>
      </c>
      <c r="J113">
        <f t="shared" si="26"/>
        <v>3.6205954029975375E-2</v>
      </c>
      <c r="K113">
        <f t="shared" si="27"/>
        <v>3.6205954029975375E-2</v>
      </c>
      <c r="L113">
        <f t="shared" si="28"/>
        <v>2.7888885168562035E-5</v>
      </c>
      <c r="M113">
        <f t="shared" si="29"/>
        <v>1.1842814169735195E-5</v>
      </c>
    </row>
    <row r="114" spans="1:13" x14ac:dyDescent="0.25">
      <c r="A114" t="s">
        <v>17</v>
      </c>
      <c r="B114">
        <v>50</v>
      </c>
      <c r="C114">
        <v>30.535200000000003</v>
      </c>
      <c r="D114" cm="1">
        <f t="array" ref="D114">+LinInterp(C114,Sheet2!$J$18:$J$41,Sheet2!$K$18:$K$41)</f>
        <v>275.03071162517153</v>
      </c>
      <c r="E114">
        <v>65.155000000000001</v>
      </c>
      <c r="F114">
        <v>6600</v>
      </c>
      <c r="G114">
        <f t="shared" si="23"/>
        <v>1.4381593330668923</v>
      </c>
      <c r="H114">
        <f t="shared" si="24"/>
        <v>0.10781566588063592</v>
      </c>
      <c r="I114">
        <f t="shared" si="25"/>
        <v>8.9961380552223802E-2</v>
      </c>
      <c r="J114">
        <f t="shared" si="26"/>
        <v>3.6205954029975375E-2</v>
      </c>
      <c r="K114">
        <f t="shared" si="27"/>
        <v>3.6205954029975375E-2</v>
      </c>
      <c r="L114">
        <f t="shared" si="28"/>
        <v>2.7888885168562035E-5</v>
      </c>
      <c r="M114">
        <f t="shared" si="29"/>
        <v>1.1842814169735195E-5</v>
      </c>
    </row>
    <row r="115" spans="1:13" x14ac:dyDescent="0.25">
      <c r="A115" t="s">
        <v>17</v>
      </c>
      <c r="B115">
        <v>50</v>
      </c>
      <c r="C115">
        <v>40.104599999999998</v>
      </c>
      <c r="D115" cm="1">
        <f t="array" ref="D115">+LinInterp(C115,Sheet2!$J$18:$J$41,Sheet2!$K$18:$K$41)</f>
        <v>262.22090968500851</v>
      </c>
      <c r="E115">
        <v>64.658000000000001</v>
      </c>
      <c r="F115">
        <v>6600</v>
      </c>
      <c r="G115">
        <f t="shared" si="23"/>
        <v>1.8888628464498178</v>
      </c>
      <c r="H115">
        <f t="shared" si="24"/>
        <v>0.13500859473084945</v>
      </c>
      <c r="I115">
        <f t="shared" si="25"/>
        <v>8.5771348608779746E-2</v>
      </c>
      <c r="J115">
        <f t="shared" si="26"/>
        <v>3.4192432296822242E-2</v>
      </c>
      <c r="K115">
        <f t="shared" si="27"/>
        <v>3.4192432296822242E-2</v>
      </c>
      <c r="L115">
        <f t="shared" si="28"/>
        <v>2.6337900588682705E-5</v>
      </c>
      <c r="M115">
        <f t="shared" si="29"/>
        <v>1.1184199741491889E-5</v>
      </c>
    </row>
    <row r="116" spans="1:13" x14ac:dyDescent="0.25">
      <c r="A116" t="s">
        <v>17</v>
      </c>
      <c r="B116">
        <v>50</v>
      </c>
      <c r="C116">
        <v>49.673999999999999</v>
      </c>
      <c r="D116" cm="1">
        <f t="array" ref="D116">+LinInterp(C116,Sheet2!$J$18:$J$41,Sheet2!$K$18:$K$41)</f>
        <v>253.25744739478958</v>
      </c>
      <c r="E116">
        <v>64.161000000000001</v>
      </c>
      <c r="F116">
        <v>6600</v>
      </c>
      <c r="G116">
        <f t="shared" si="23"/>
        <v>2.3395663598327436</v>
      </c>
      <c r="H116">
        <f t="shared" si="24"/>
        <v>0.16150696881154969</v>
      </c>
      <c r="I116">
        <f t="shared" si="25"/>
        <v>8.2839438069076607E-2</v>
      </c>
      <c r="J116">
        <f t="shared" si="26"/>
        <v>3.229088854846477E-2</v>
      </c>
      <c r="K116">
        <f t="shared" si="27"/>
        <v>3.229088854846477E-2</v>
      </c>
      <c r="L116">
        <f t="shared" si="28"/>
        <v>2.4873170914744746E-5</v>
      </c>
      <c r="M116">
        <f t="shared" si="29"/>
        <v>1.0562212837659028E-5</v>
      </c>
    </row>
    <row r="117" spans="1:13" x14ac:dyDescent="0.25">
      <c r="A117" t="s">
        <v>17</v>
      </c>
      <c r="B117">
        <v>50</v>
      </c>
      <c r="C117">
        <v>59.243400000000001</v>
      </c>
      <c r="D117" cm="1">
        <f t="array" ref="D117">+LinInterp(C117,Sheet2!$J$18:$J$41,Sheet2!$K$18:$K$41)</f>
        <v>245.78630926285464</v>
      </c>
      <c r="E117">
        <v>63.664999999999999</v>
      </c>
      <c r="F117">
        <v>6600</v>
      </c>
      <c r="G117">
        <f t="shared" si="23"/>
        <v>2.7902698732156694</v>
      </c>
      <c r="H117">
        <f t="shared" si="24"/>
        <v>0.1869379910502533</v>
      </c>
      <c r="I117">
        <f t="shared" si="25"/>
        <v>8.0395660439030597E-2</v>
      </c>
      <c r="J117">
        <f t="shared" si="26"/>
        <v>3.0498606432906961E-2</v>
      </c>
      <c r="K117">
        <f t="shared" si="27"/>
        <v>3.0498606432906961E-2</v>
      </c>
      <c r="L117">
        <f t="shared" si="28"/>
        <v>2.3492603782911233E-5</v>
      </c>
      <c r="M117">
        <f t="shared" si="29"/>
        <v>9.9759649510070705E-6</v>
      </c>
    </row>
    <row r="118" spans="1:13" x14ac:dyDescent="0.25">
      <c r="A118" t="s">
        <v>17</v>
      </c>
      <c r="B118">
        <v>50</v>
      </c>
      <c r="C118">
        <v>68.813400000000001</v>
      </c>
      <c r="D118" cm="1">
        <f t="array" ref="D118">+LinInterp(C118,Sheet2!$J$18:$J$41,Sheet2!$K$18:$K$41)</f>
        <v>237.70993783728395</v>
      </c>
      <c r="E118">
        <v>62.795000000000002</v>
      </c>
      <c r="F118">
        <v>6600</v>
      </c>
      <c r="G118">
        <f t="shared" si="23"/>
        <v>3.2410016456438888</v>
      </c>
      <c r="H118">
        <f t="shared" si="24"/>
        <v>0.21000046817696916</v>
      </c>
      <c r="I118">
        <f t="shared" si="25"/>
        <v>7.7753913562823282E-2</v>
      </c>
      <c r="J118">
        <f t="shared" si="26"/>
        <v>2.759179760418921E-2</v>
      </c>
      <c r="K118">
        <f t="shared" si="27"/>
        <v>2.759179760418921E-2</v>
      </c>
      <c r="L118">
        <f t="shared" si="28"/>
        <v>2.1253533999970153E-5</v>
      </c>
      <c r="M118">
        <f t="shared" si="29"/>
        <v>9.0251600983867191E-6</v>
      </c>
    </row>
    <row r="119" spans="1:13" x14ac:dyDescent="0.25">
      <c r="A119" t="s">
        <v>17</v>
      </c>
      <c r="B119">
        <v>50</v>
      </c>
      <c r="C119">
        <v>77.985600000000005</v>
      </c>
      <c r="D119" cm="1">
        <f t="array" ref="D119">+LinInterp(C119,Sheet2!$J$18:$J$41,Sheet2!$K$18:$K$41)</f>
        <v>224.31070708335943</v>
      </c>
      <c r="E119">
        <v>61.677</v>
      </c>
      <c r="F119">
        <v>6600</v>
      </c>
      <c r="G119">
        <f t="shared" si="23"/>
        <v>3.6729976710426464</v>
      </c>
      <c r="H119">
        <f t="shared" si="24"/>
        <v>0.22457651094183484</v>
      </c>
      <c r="I119">
        <f t="shared" si="25"/>
        <v>7.3371081951626088E-2</v>
      </c>
      <c r="J119">
        <f t="shared" si="26"/>
        <v>2.4259396663380083E-2</v>
      </c>
      <c r="K119">
        <f t="shared" si="27"/>
        <v>2.4259396663380083E-2</v>
      </c>
      <c r="L119">
        <f t="shared" si="28"/>
        <v>1.8686637210097134E-5</v>
      </c>
      <c r="M119">
        <f t="shared" si="29"/>
        <v>7.9351458690039039E-6</v>
      </c>
    </row>
    <row r="120" spans="1:13" x14ac:dyDescent="0.25">
      <c r="A120" t="s">
        <v>17</v>
      </c>
      <c r="B120">
        <v>50</v>
      </c>
      <c r="C120">
        <v>87.157200000000003</v>
      </c>
      <c r="D120" cm="1">
        <f t="array" ref="D120">+LinInterp(C120,Sheet2!$J$18:$J$41,Sheet2!$K$18:$K$41)</f>
        <v>217.44328803156512</v>
      </c>
      <c r="E120">
        <v>60.932000000000002</v>
      </c>
      <c r="F120">
        <v>6600</v>
      </c>
      <c r="G120">
        <f t="shared" si="23"/>
        <v>4.1049654373961113</v>
      </c>
      <c r="H120">
        <f t="shared" si="24"/>
        <v>0.24330396380084848</v>
      </c>
      <c r="I120">
        <f t="shared" si="25"/>
        <v>7.1124778274922376E-2</v>
      </c>
      <c r="J120">
        <f t="shared" si="26"/>
        <v>2.2265374057676948E-2</v>
      </c>
      <c r="K120">
        <f t="shared" si="27"/>
        <v>2.2265374057676948E-2</v>
      </c>
      <c r="L120">
        <f t="shared" si="28"/>
        <v>1.7150672505840746E-5</v>
      </c>
      <c r="M120">
        <f t="shared" si="29"/>
        <v>7.2829095227376977E-6</v>
      </c>
    </row>
    <row r="121" spans="1:13" x14ac:dyDescent="0.25">
      <c r="A121" t="s">
        <v>17</v>
      </c>
      <c r="B121">
        <v>50</v>
      </c>
      <c r="C121">
        <v>96.726599999999991</v>
      </c>
      <c r="D121" cm="1">
        <f t="array" ref="D121">+LinInterp(C121,Sheet2!$J$18:$J$41,Sheet2!$K$18:$K$41)</f>
        <v>213.69996753246753</v>
      </c>
      <c r="E121">
        <v>60.435000000000002</v>
      </c>
      <c r="F121">
        <v>6600</v>
      </c>
      <c r="G121">
        <f t="shared" si="23"/>
        <v>4.5556689507790367</v>
      </c>
      <c r="H121">
        <f t="shared" si="24"/>
        <v>0.26536906030128232</v>
      </c>
      <c r="I121">
        <f t="shared" si="25"/>
        <v>6.9900353998962939E-2</v>
      </c>
      <c r="J121">
        <f t="shared" si="26"/>
        <v>2.102712980302205E-2</v>
      </c>
      <c r="K121">
        <f t="shared" si="27"/>
        <v>2.102712980302205E-2</v>
      </c>
      <c r="L121">
        <f t="shared" si="28"/>
        <v>1.6196872150238692E-5</v>
      </c>
      <c r="M121">
        <f t="shared" si="29"/>
        <v>6.8778850730994021E-6</v>
      </c>
    </row>
    <row r="122" spans="1:13" x14ac:dyDescent="0.25">
      <c r="A122" t="s">
        <v>17</v>
      </c>
      <c r="B122">
        <v>50</v>
      </c>
      <c r="C122">
        <v>106.29600000000001</v>
      </c>
      <c r="D122" cm="1">
        <f t="array" ref="D122">+LinInterp(C122,Sheet2!$J$18:$J$41,Sheet2!$K$18:$K$41)</f>
        <v>209.95638151875571</v>
      </c>
      <c r="E122">
        <v>59.814</v>
      </c>
      <c r="F122">
        <v>6600</v>
      </c>
      <c r="G122">
        <f t="shared" si="23"/>
        <v>5.0063724641619629</v>
      </c>
      <c r="H122">
        <f t="shared" si="24"/>
        <v>0.28651404059916635</v>
      </c>
      <c r="I122">
        <f t="shared" si="25"/>
        <v>6.8675842874298093E-2</v>
      </c>
      <c r="J122">
        <f t="shared" si="26"/>
        <v>1.9576272226703637E-2</v>
      </c>
      <c r="K122">
        <f t="shared" si="27"/>
        <v>1.9576272226703637E-2</v>
      </c>
      <c r="L122">
        <f t="shared" si="28"/>
        <v>1.5079299048632729E-5</v>
      </c>
      <c r="M122">
        <f t="shared" si="29"/>
        <v>6.4033157067220932E-6</v>
      </c>
    </row>
    <row r="123" spans="1:13" x14ac:dyDescent="0.25">
      <c r="A123" t="s">
        <v>17</v>
      </c>
      <c r="B123">
        <v>50</v>
      </c>
      <c r="C123">
        <v>115.86479999999999</v>
      </c>
      <c r="D123" cm="1">
        <f t="array" ref="D123">+LinInterp(C123,Sheet2!$J$18:$J$41,Sheet2!$K$18:$K$41)</f>
        <v>201.51104651957104</v>
      </c>
      <c r="E123">
        <v>59.564999999999998</v>
      </c>
      <c r="F123">
        <v>6600</v>
      </c>
      <c r="G123">
        <f t="shared" si="23"/>
        <v>5.4570477184995951</v>
      </c>
      <c r="H123">
        <f t="shared" si="24"/>
        <v>0.29974385112260971</v>
      </c>
      <c r="I123">
        <f t="shared" si="25"/>
        <v>6.5913409576346615E-2</v>
      </c>
      <c r="J123">
        <f t="shared" si="26"/>
        <v>1.9023043265872262E-2</v>
      </c>
      <c r="K123">
        <f t="shared" si="27"/>
        <v>1.9023043265872262E-2</v>
      </c>
      <c r="L123">
        <f t="shared" si="28"/>
        <v>1.4653155355587786E-5</v>
      </c>
      <c r="M123">
        <f t="shared" si="29"/>
        <v>6.222356857494771E-6</v>
      </c>
    </row>
    <row r="124" spans="1:13" x14ac:dyDescent="0.25">
      <c r="A124" t="s">
        <v>17</v>
      </c>
      <c r="B124">
        <v>50</v>
      </c>
      <c r="C124">
        <v>125.43299999999999</v>
      </c>
      <c r="D124" cm="1">
        <f t="array" ref="D124">+LinInterp(C124,Sheet2!$J$18:$J$41,Sheet2!$K$18:$K$41)</f>
        <v>184.5205154794109</v>
      </c>
      <c r="E124">
        <v>59.564999999999998</v>
      </c>
      <c r="F124">
        <v>6600</v>
      </c>
      <c r="G124">
        <f t="shared" si="23"/>
        <v>5.9076947137919342</v>
      </c>
      <c r="H124">
        <f t="shared" si="24"/>
        <v>0.29713675539026163</v>
      </c>
      <c r="I124">
        <f t="shared" si="25"/>
        <v>6.0355878856754329E-2</v>
      </c>
      <c r="J124">
        <f t="shared" si="26"/>
        <v>1.9023043265872262E-2</v>
      </c>
      <c r="K124">
        <f t="shared" si="27"/>
        <v>1.9023043265872262E-2</v>
      </c>
      <c r="L124">
        <f t="shared" si="28"/>
        <v>1.4653155355587786E-5</v>
      </c>
      <c r="M124">
        <f t="shared" si="29"/>
        <v>6.222356857494771E-6</v>
      </c>
    </row>
    <row r="125" spans="1:13" x14ac:dyDescent="0.25">
      <c r="A125" t="s">
        <v>17</v>
      </c>
      <c r="B125">
        <v>50</v>
      </c>
      <c r="C125">
        <v>135.399</v>
      </c>
      <c r="D125" cm="1">
        <f t="array" ref="D125">+LinInterp(C125,Sheet2!$J$18:$J$41,Sheet2!$K$18:$K$41)</f>
        <v>162.77881208204971</v>
      </c>
      <c r="E125">
        <v>59.814</v>
      </c>
      <c r="F125">
        <v>6600</v>
      </c>
      <c r="G125">
        <f t="shared" si="23"/>
        <v>6.3770774561137351</v>
      </c>
      <c r="H125">
        <f t="shared" si="24"/>
        <v>0.28295230730325621</v>
      </c>
      <c r="I125">
        <f t="shared" si="25"/>
        <v>5.3244259788374708E-2</v>
      </c>
      <c r="J125">
        <f t="shared" si="26"/>
        <v>1.9576272226703637E-2</v>
      </c>
      <c r="K125">
        <f t="shared" si="27"/>
        <v>1.9576272226703637E-2</v>
      </c>
      <c r="L125">
        <f t="shared" si="28"/>
        <v>1.5079299048632729E-5</v>
      </c>
      <c r="M125">
        <f t="shared" si="29"/>
        <v>6.4033157067220932E-6</v>
      </c>
    </row>
    <row r="126" spans="1:13" x14ac:dyDescent="0.25">
      <c r="A126" t="s">
        <v>17</v>
      </c>
      <c r="B126">
        <v>50</v>
      </c>
      <c r="C126">
        <v>144.96779999999998</v>
      </c>
      <c r="D126" cm="1">
        <f t="array" ref="D126">+LinInterp(C126,Sheet2!$J$18:$J$41,Sheet2!$K$18:$K$41)</f>
        <v>140.49261013999845</v>
      </c>
      <c r="E126">
        <v>59.689</v>
      </c>
      <c r="F126">
        <v>6600</v>
      </c>
      <c r="G126">
        <f t="shared" si="23"/>
        <v>6.8277527104513673</v>
      </c>
      <c r="H126">
        <f t="shared" si="24"/>
        <v>0.26147184861195727</v>
      </c>
      <c r="I126">
        <f t="shared" si="25"/>
        <v>4.5954537552899494E-2</v>
      </c>
      <c r="J126">
        <f t="shared" si="26"/>
        <v>1.9296564509131982E-2</v>
      </c>
      <c r="K126">
        <f t="shared" si="27"/>
        <v>1.9296564509131982E-2</v>
      </c>
      <c r="L126">
        <f t="shared" si="28"/>
        <v>1.4863844529476621E-5</v>
      </c>
      <c r="M126">
        <f t="shared" si="29"/>
        <v>6.3118244973398081E-6</v>
      </c>
    </row>
    <row r="127" spans="1:13" x14ac:dyDescent="0.25">
      <c r="A127" t="s">
        <v>17</v>
      </c>
      <c r="B127">
        <v>50</v>
      </c>
      <c r="C127">
        <v>150.54900000000001</v>
      </c>
      <c r="D127" cm="1">
        <f t="array" ref="D127">+LinInterp(C127,Sheet2!$J$18:$J$41,Sheet2!$K$18:$K$41)</f>
        <v>127.14430772120986</v>
      </c>
      <c r="E127">
        <v>59.564999999999998</v>
      </c>
      <c r="F127">
        <v>6600</v>
      </c>
      <c r="G127">
        <f t="shared" si="23"/>
        <v>7.0906183497696933</v>
      </c>
      <c r="H127">
        <f t="shared" si="24"/>
        <v>0.24573934970052863</v>
      </c>
      <c r="I127">
        <f t="shared" si="25"/>
        <v>4.158836438435759E-2</v>
      </c>
      <c r="J127">
        <f t="shared" si="26"/>
        <v>1.9023043265872262E-2</v>
      </c>
      <c r="K127">
        <f t="shared" si="27"/>
        <v>1.9023043265872262E-2</v>
      </c>
      <c r="L127">
        <f t="shared" si="28"/>
        <v>1.4653155355587786E-5</v>
      </c>
      <c r="M127">
        <f t="shared" si="29"/>
        <v>6.222356857494771E-6</v>
      </c>
    </row>
    <row r="128" spans="1:13" x14ac:dyDescent="0.25">
      <c r="A128" t="s">
        <v>17</v>
      </c>
      <c r="B128">
        <v>50</v>
      </c>
      <c r="C128">
        <v>160.11840000000001</v>
      </c>
      <c r="D128" cm="1">
        <f t="array" ref="D128">+LinInterp(C128,Sheet2!$J$18:$J$41,Sheet2!$K$18:$K$41)</f>
        <v>102.37204144585937</v>
      </c>
      <c r="E128">
        <v>59.192999999999998</v>
      </c>
      <c r="F128">
        <v>6600</v>
      </c>
      <c r="G128">
        <f t="shared" si="23"/>
        <v>7.5413218631526204</v>
      </c>
      <c r="H128">
        <f t="shared" si="24"/>
        <v>0.21043719952061316</v>
      </c>
      <c r="I128">
        <f t="shared" si="25"/>
        <v>3.3485461038148666E-2</v>
      </c>
      <c r="J128">
        <f t="shared" si="26"/>
        <v>1.8225522830934829E-2</v>
      </c>
      <c r="K128">
        <f t="shared" si="27"/>
        <v>1.8225522830934829E-2</v>
      </c>
      <c r="L128">
        <f t="shared" si="28"/>
        <v>1.4038837726748692E-5</v>
      </c>
      <c r="M128">
        <f t="shared" si="29"/>
        <v>5.9614913020750501E-6</v>
      </c>
    </row>
    <row r="129" spans="1:13" x14ac:dyDescent="0.25">
      <c r="A129" t="s">
        <v>17</v>
      </c>
      <c r="B129">
        <v>50</v>
      </c>
      <c r="C129">
        <v>170.08619999999999</v>
      </c>
      <c r="D129" cm="1">
        <f t="array" ref="D129">+LinInterp(C129,Sheet2!$J$18:$J$41,Sheet2!$K$18:$K$41)</f>
        <v>74.304863001591031</v>
      </c>
      <c r="E129">
        <v>58.82</v>
      </c>
      <c r="F129">
        <v>6600</v>
      </c>
      <c r="G129">
        <f t="shared" si="23"/>
        <v>8.0107893826102998</v>
      </c>
      <c r="H129">
        <f t="shared" si="24"/>
        <v>0.16225056741502733</v>
      </c>
      <c r="I129">
        <f t="shared" si="25"/>
        <v>2.4304805881014184E-2</v>
      </c>
      <c r="J129">
        <f t="shared" si="26"/>
        <v>1.7459427367762233E-2</v>
      </c>
      <c r="K129">
        <f t="shared" si="27"/>
        <v>1.7459427367762233E-2</v>
      </c>
      <c r="L129">
        <f t="shared" si="28"/>
        <v>1.3448726266548305E-5</v>
      </c>
      <c r="M129">
        <f t="shared" si="29"/>
        <v>5.7109047217816864E-6</v>
      </c>
    </row>
    <row r="130" spans="1:13" x14ac:dyDescent="0.25">
      <c r="A130" t="s">
        <v>17</v>
      </c>
      <c r="B130">
        <v>50</v>
      </c>
      <c r="C130">
        <v>179.65440000000001</v>
      </c>
      <c r="D130" cm="1">
        <f t="array" ref="D130">+LinInterp(C130,Sheet2!$J$18:$J$41,Sheet2!$K$18:$K$41)</f>
        <v>41.550634611985174</v>
      </c>
      <c r="E130">
        <v>58.695999999999998</v>
      </c>
      <c r="F130">
        <v>6600</v>
      </c>
      <c r="G130">
        <f t="shared" si="23"/>
        <v>8.4614363779026398</v>
      </c>
      <c r="H130">
        <f t="shared" si="24"/>
        <v>9.5833075858111391E-2</v>
      </c>
      <c r="I130">
        <f t="shared" si="25"/>
        <v>1.3591036544346027E-2</v>
      </c>
      <c r="J130">
        <f t="shared" si="26"/>
        <v>1.7211946823856461E-2</v>
      </c>
      <c r="K130">
        <f t="shared" si="27"/>
        <v>1.7211946823856461E-2</v>
      </c>
      <c r="L130">
        <f t="shared" si="28"/>
        <v>1.3258095839720519E-5</v>
      </c>
      <c r="M130">
        <f t="shared" si="29"/>
        <v>5.6299548843689071E-6</v>
      </c>
    </row>
    <row r="131" spans="1:13" x14ac:dyDescent="0.25">
      <c r="A131" t="s">
        <v>17</v>
      </c>
      <c r="B131">
        <v>50</v>
      </c>
      <c r="C131">
        <v>189.62100000000001</v>
      </c>
      <c r="D131" cm="1">
        <f t="array" ref="D131">+LinInterp(C131,Sheet2!$J$18:$J$41,Sheet2!$K$18:$K$41)</f>
        <v>0</v>
      </c>
      <c r="E131">
        <v>58.695999999999998</v>
      </c>
      <c r="F131">
        <v>6600</v>
      </c>
      <c r="G131">
        <f t="shared" si="23"/>
        <v>8.9308473792697338</v>
      </c>
      <c r="H131">
        <f t="shared" si="24"/>
        <v>0</v>
      </c>
      <c r="I131">
        <f t="shared" si="25"/>
        <v>0</v>
      </c>
      <c r="J131">
        <f t="shared" si="26"/>
        <v>1.7211946823856461E-2</v>
      </c>
      <c r="K131">
        <f t="shared" si="27"/>
        <v>1.7211946823856461E-2</v>
      </c>
      <c r="L131">
        <f t="shared" si="28"/>
        <v>1.3258095839720519E-5</v>
      </c>
      <c r="M131">
        <f t="shared" si="29"/>
        <v>5.6299548843689071E-6</v>
      </c>
    </row>
    <row r="132" spans="1:13" x14ac:dyDescent="0.25">
      <c r="A132" t="s">
        <v>17</v>
      </c>
      <c r="B132">
        <v>100</v>
      </c>
      <c r="C132">
        <v>1.0110000000000001</v>
      </c>
      <c r="D132" cm="1">
        <f t="array" ref="D132">+LinInterp(C132,Sheet2!$J$42:$J$73,Sheet2!$K$42:$K$73)</f>
        <v>488.72259824179127</v>
      </c>
      <c r="E132">
        <v>74.347999999999999</v>
      </c>
      <c r="F132">
        <v>10200</v>
      </c>
      <c r="G132">
        <f t="shared" si="23"/>
        <v>3.0810670853612547E-2</v>
      </c>
      <c r="H132">
        <f t="shared" si="24"/>
        <v>1.718481162952057E-3</v>
      </c>
      <c r="I132">
        <f t="shared" si="25"/>
        <v>6.6930623008511297E-2</v>
      </c>
      <c r="J132">
        <f t="shared" si="26"/>
        <v>0.10433499406152041</v>
      </c>
      <c r="K132">
        <f t="shared" si="27"/>
        <v>0.10433499406152041</v>
      </c>
      <c r="L132">
        <f t="shared" si="28"/>
        <v>2.1772707863785678E-5</v>
      </c>
      <c r="M132">
        <f t="shared" si="29"/>
        <v>1.4288690924564136E-5</v>
      </c>
    </row>
    <row r="133" spans="1:13" x14ac:dyDescent="0.25">
      <c r="A133" t="s">
        <v>17</v>
      </c>
      <c r="B133">
        <v>100</v>
      </c>
      <c r="C133">
        <v>10.978199999999999</v>
      </c>
      <c r="D133" cm="1">
        <f t="array" ref="D133">+LinInterp(C133,Sheet2!$J$42:$J$73,Sheet2!$K$42:$K$73)</f>
        <v>465.96000715665923</v>
      </c>
      <c r="E133">
        <v>74.099000000000004</v>
      </c>
      <c r="F133">
        <v>10200</v>
      </c>
      <c r="G133">
        <f t="shared" si="23"/>
        <v>0.33456548641456901</v>
      </c>
      <c r="H133">
        <f t="shared" si="24"/>
        <v>1.7791435115944772E-2</v>
      </c>
      <c r="I133">
        <f t="shared" si="25"/>
        <v>6.3813283216783215E-2</v>
      </c>
      <c r="J133">
        <f t="shared" si="26"/>
        <v>0.10138646843444685</v>
      </c>
      <c r="K133">
        <f t="shared" si="27"/>
        <v>0.10138646843444685</v>
      </c>
      <c r="L133">
        <f t="shared" si="28"/>
        <v>2.1157407238289837E-5</v>
      </c>
      <c r="M133">
        <f t="shared" si="29"/>
        <v>1.3884889958767667E-5</v>
      </c>
    </row>
    <row r="134" spans="1:13" x14ac:dyDescent="0.25">
      <c r="A134" t="s">
        <v>17</v>
      </c>
      <c r="B134">
        <v>100</v>
      </c>
      <c r="C134">
        <v>20.546999999999997</v>
      </c>
      <c r="D134" cm="1">
        <f t="array" ref="D134">+LinInterp(C134,Sheet2!$J$42:$J$73,Sheet2!$K$42:$K$73)</f>
        <v>445.7434142309715</v>
      </c>
      <c r="E134">
        <v>73.727000000000004</v>
      </c>
      <c r="F134">
        <v>10200</v>
      </c>
      <c r="G134">
        <f t="shared" si="23"/>
        <v>0.62617888628009588</v>
      </c>
      <c r="H134">
        <f t="shared" si="24"/>
        <v>3.1854042532666035E-2</v>
      </c>
      <c r="I134">
        <f t="shared" si="25"/>
        <v>6.1044618202123292E-2</v>
      </c>
      <c r="J134">
        <f t="shared" si="26"/>
        <v>9.713595082417191E-2</v>
      </c>
      <c r="K134">
        <f t="shared" si="27"/>
        <v>9.713595082417191E-2</v>
      </c>
      <c r="L134">
        <f t="shared" si="28"/>
        <v>2.0270405911162488E-5</v>
      </c>
      <c r="M134">
        <f t="shared" si="29"/>
        <v>1.3302781022557597E-5</v>
      </c>
    </row>
    <row r="135" spans="1:13" x14ac:dyDescent="0.25">
      <c r="A135" t="s">
        <v>17</v>
      </c>
      <c r="B135">
        <v>100</v>
      </c>
      <c r="C135">
        <v>30.514199999999999</v>
      </c>
      <c r="D135" cm="1">
        <f t="array" ref="D135">+LinInterp(C135,Sheet2!$J$42:$J$73,Sheet2!$K$42:$K$73)</f>
        <v>425.38040169422055</v>
      </c>
      <c r="E135">
        <v>73.602000000000004</v>
      </c>
      <c r="F135">
        <v>10200</v>
      </c>
      <c r="G135">
        <f t="shared" si="23"/>
        <v>0.9299337018410524</v>
      </c>
      <c r="H135">
        <f t="shared" si="24"/>
        <v>4.5145104728016375E-2</v>
      </c>
      <c r="I135">
        <f t="shared" si="25"/>
        <v>5.8255901002799967E-2</v>
      </c>
      <c r="J135">
        <f t="shared" si="26"/>
        <v>9.574806273268345E-2</v>
      </c>
      <c r="K135">
        <f t="shared" si="27"/>
        <v>9.574806273268345E-2</v>
      </c>
      <c r="L135">
        <f t="shared" si="28"/>
        <v>1.9980780342719101E-5</v>
      </c>
      <c r="M135">
        <f t="shared" si="29"/>
        <v>1.3112709569009917E-5</v>
      </c>
    </row>
    <row r="136" spans="1:13" x14ac:dyDescent="0.25">
      <c r="A136" t="s">
        <v>17</v>
      </c>
      <c r="B136">
        <v>100</v>
      </c>
      <c r="C136">
        <v>40.481400000000001</v>
      </c>
      <c r="D136" cm="1">
        <f t="array" ref="D136">+LinInterp(C136,Sheet2!$J$42:$J$73,Sheet2!$K$42:$K$73)</f>
        <v>408.42581528792954</v>
      </c>
      <c r="E136">
        <v>73.353999999999999</v>
      </c>
      <c r="F136">
        <v>10200</v>
      </c>
      <c r="G136">
        <f t="shared" si="23"/>
        <v>1.2336885174020089</v>
      </c>
      <c r="H136">
        <f t="shared" si="24"/>
        <v>5.7504245253630966E-2</v>
      </c>
      <c r="I136">
        <f t="shared" si="25"/>
        <v>5.5933968202665219E-2</v>
      </c>
      <c r="J136">
        <f t="shared" si="26"/>
        <v>9.3052917819980388E-2</v>
      </c>
      <c r="K136">
        <f t="shared" si="27"/>
        <v>9.3052917819980388E-2</v>
      </c>
      <c r="L136">
        <f t="shared" si="28"/>
        <v>1.9418355402144979E-5</v>
      </c>
      <c r="M136">
        <f t="shared" si="29"/>
        <v>1.2743609124802116E-5</v>
      </c>
    </row>
    <row r="137" spans="1:13" x14ac:dyDescent="0.25">
      <c r="A137" t="s">
        <v>17</v>
      </c>
      <c r="B137">
        <v>100</v>
      </c>
      <c r="C137">
        <v>49.652999999999999</v>
      </c>
      <c r="D137" cm="1">
        <f t="array" ref="D137">+LinInterp(C137,Sheet2!$J$42:$J$73,Sheet2!$K$42:$K$73)</f>
        <v>393.05162180625769</v>
      </c>
      <c r="E137">
        <v>72.608999999999995</v>
      </c>
      <c r="F137">
        <v>10200</v>
      </c>
      <c r="G137">
        <f t="shared" si="23"/>
        <v>1.5131970721013095</v>
      </c>
      <c r="H137">
        <f t="shared" si="24"/>
        <v>6.7877569859999765E-2</v>
      </c>
      <c r="I137">
        <f t="shared" si="25"/>
        <v>5.3828470417861332E-2</v>
      </c>
      <c r="J137">
        <f t="shared" si="26"/>
        <v>8.540435078287148E-2</v>
      </c>
      <c r="K137">
        <f t="shared" si="27"/>
        <v>8.540435078287148E-2</v>
      </c>
      <c r="L137">
        <f t="shared" si="28"/>
        <v>1.7822246472696439E-5</v>
      </c>
      <c r="M137">
        <f t="shared" si="29"/>
        <v>1.1696136880306492E-5</v>
      </c>
    </row>
    <row r="138" spans="1:13" x14ac:dyDescent="0.25">
      <c r="A138" t="s">
        <v>17</v>
      </c>
      <c r="B138">
        <v>100</v>
      </c>
      <c r="C138">
        <v>58.824000000000005</v>
      </c>
      <c r="D138" cm="1">
        <f t="array" ref="D138">+LinInterp(C138,Sheet2!$J$42:$J$73,Sheet2!$K$42:$K$73)</f>
        <v>379.15767300529308</v>
      </c>
      <c r="E138">
        <v>71.863</v>
      </c>
      <c r="F138">
        <v>10200</v>
      </c>
      <c r="G138">
        <f t="shared" si="23"/>
        <v>1.7926873415360085</v>
      </c>
      <c r="H138">
        <f t="shared" si="24"/>
        <v>7.757210945553969E-2</v>
      </c>
      <c r="I138">
        <f t="shared" si="25"/>
        <v>5.1925692333437981E-2</v>
      </c>
      <c r="J138">
        <f t="shared" si="26"/>
        <v>7.8375440665485546E-2</v>
      </c>
      <c r="K138">
        <f t="shared" si="27"/>
        <v>7.8375440665485546E-2</v>
      </c>
      <c r="L138">
        <f t="shared" si="28"/>
        <v>1.6355448032123247E-5</v>
      </c>
      <c r="M138">
        <f t="shared" si="29"/>
        <v>1.0733526731072676E-5</v>
      </c>
    </row>
    <row r="139" spans="1:13" x14ac:dyDescent="0.25">
      <c r="A139" t="s">
        <v>17</v>
      </c>
      <c r="B139">
        <v>100</v>
      </c>
      <c r="C139">
        <v>68.3934</v>
      </c>
      <c r="D139" cm="1">
        <f t="array" ref="D139">+LinInterp(C139,Sheet2!$J$42:$J$73,Sheet2!$K$42:$K$73)</f>
        <v>367.84905179432576</v>
      </c>
      <c r="E139">
        <v>71.491</v>
      </c>
      <c r="F139">
        <v>10200</v>
      </c>
      <c r="G139">
        <f t="shared" si="23"/>
        <v>2.0843190266661371</v>
      </c>
      <c r="H139">
        <f t="shared" si="24"/>
        <v>8.7501406590275763E-2</v>
      </c>
      <c r="I139">
        <f t="shared" si="25"/>
        <v>5.0376975196681308E-2</v>
      </c>
      <c r="J139">
        <f t="shared" si="26"/>
        <v>7.5089635410545655E-2</v>
      </c>
      <c r="K139">
        <f t="shared" si="27"/>
        <v>7.5089635410545655E-2</v>
      </c>
      <c r="L139">
        <f t="shared" si="28"/>
        <v>1.5669763631059169E-5</v>
      </c>
      <c r="M139">
        <f t="shared" si="29"/>
        <v>1.0283535276638307E-5</v>
      </c>
    </row>
    <row r="140" spans="1:13" x14ac:dyDescent="0.25">
      <c r="A140" t="s">
        <v>17</v>
      </c>
      <c r="B140">
        <v>100</v>
      </c>
      <c r="C140">
        <v>78.361199999999997</v>
      </c>
      <c r="D140" cm="1">
        <f t="array" ref="D140">+LinInterp(C140,Sheet2!$J$42:$J$73,Sheet2!$K$42:$K$73)</f>
        <v>360.16023786185713</v>
      </c>
      <c r="E140">
        <v>71.117999999999995</v>
      </c>
      <c r="F140">
        <v>10200</v>
      </c>
      <c r="G140">
        <f t="shared" si="23"/>
        <v>2.3880921274916949</v>
      </c>
      <c r="H140">
        <f t="shared" si="24"/>
        <v>9.8158529104299605E-2</v>
      </c>
      <c r="I140">
        <f t="shared" si="25"/>
        <v>4.9323991134663278E-2</v>
      </c>
      <c r="J140">
        <f t="shared" si="26"/>
        <v>7.1933301869229541E-2</v>
      </c>
      <c r="K140">
        <f t="shared" si="27"/>
        <v>7.1933301869229541E-2</v>
      </c>
      <c r="L140">
        <f t="shared" si="28"/>
        <v>1.5011097488084909E-5</v>
      </c>
      <c r="M140">
        <f t="shared" si="29"/>
        <v>9.8512749901220881E-6</v>
      </c>
    </row>
    <row r="141" spans="1:13" x14ac:dyDescent="0.25">
      <c r="A141" t="s">
        <v>17</v>
      </c>
      <c r="B141">
        <v>100</v>
      </c>
      <c r="C141">
        <v>87.930599999999998</v>
      </c>
      <c r="D141" cm="1">
        <f t="array" ref="D141">+LinInterp(C141,Sheet2!$J$42:$J$73,Sheet2!$K$42:$K$73)</f>
        <v>347.11814499391681</v>
      </c>
      <c r="E141">
        <v>70.620999999999995</v>
      </c>
      <c r="F141">
        <v>10200</v>
      </c>
      <c r="G141">
        <f t="shared" si="23"/>
        <v>2.6797238126218232</v>
      </c>
      <c r="H141">
        <f t="shared" si="24"/>
        <v>0.10615697932036137</v>
      </c>
      <c r="I141">
        <f t="shared" si="25"/>
        <v>4.7537874830390729E-2</v>
      </c>
      <c r="J141">
        <f t="shared" si="26"/>
        <v>6.7932875129162296E-2</v>
      </c>
      <c r="K141">
        <f t="shared" si="27"/>
        <v>6.7932875129162296E-2</v>
      </c>
      <c r="L141">
        <f t="shared" si="28"/>
        <v>1.4176285318635772E-5</v>
      </c>
      <c r="M141">
        <f t="shared" si="29"/>
        <v>9.3034160309172974E-6</v>
      </c>
    </row>
    <row r="142" spans="1:13" x14ac:dyDescent="0.25">
      <c r="A142" t="s">
        <v>17</v>
      </c>
      <c r="B142">
        <v>100</v>
      </c>
      <c r="C142">
        <v>97.5</v>
      </c>
      <c r="D142" cm="1">
        <f t="array" ref="D142">+LinInterp(C142,Sheet2!$J$42:$J$73,Sheet2!$K$42:$K$73)</f>
        <v>331.13375914793517</v>
      </c>
      <c r="E142">
        <v>70</v>
      </c>
      <c r="F142">
        <v>10200</v>
      </c>
      <c r="G142">
        <f t="shared" si="23"/>
        <v>2.9713554977519521</v>
      </c>
      <c r="H142">
        <f t="shared" si="24"/>
        <v>0.11228953270424578</v>
      </c>
      <c r="I142">
        <f t="shared" si="25"/>
        <v>4.5348811122412389E-2</v>
      </c>
      <c r="J142">
        <f t="shared" si="26"/>
        <v>6.3245553203367597E-2</v>
      </c>
      <c r="K142">
        <f t="shared" si="27"/>
        <v>6.3245553203367597E-2</v>
      </c>
      <c r="L142">
        <f t="shared" si="28"/>
        <v>1.3198131326566066E-5</v>
      </c>
      <c r="M142">
        <f t="shared" si="29"/>
        <v>8.6614866872292009E-6</v>
      </c>
    </row>
    <row r="143" spans="1:13" x14ac:dyDescent="0.25">
      <c r="A143" t="s">
        <v>17</v>
      </c>
      <c r="B143">
        <v>100</v>
      </c>
      <c r="C143">
        <v>107.06880000000001</v>
      </c>
      <c r="D143" cm="1">
        <f t="array" ref="D143">+LinInterp(C143,Sheet2!$J$42:$J$73,Sheet2!$K$42:$K$73)</f>
        <v>323.36457130832133</v>
      </c>
      <c r="E143">
        <v>69.751999999999995</v>
      </c>
      <c r="F143">
        <v>10200</v>
      </c>
      <c r="G143">
        <f t="shared" si="23"/>
        <v>3.2629688976174789</v>
      </c>
      <c r="H143">
        <f t="shared" si="24"/>
        <v>0.12041665815472881</v>
      </c>
      <c r="I143">
        <f t="shared" si="25"/>
        <v>4.4284819843420538E-2</v>
      </c>
      <c r="J143">
        <f t="shared" si="26"/>
        <v>6.1465298584085885E-2</v>
      </c>
      <c r="K143">
        <f t="shared" si="27"/>
        <v>6.1465298584085885E-2</v>
      </c>
      <c r="L143">
        <f t="shared" si="28"/>
        <v>1.2826626405351228E-5</v>
      </c>
      <c r="M143">
        <f t="shared" si="29"/>
        <v>8.4176805869773062E-6</v>
      </c>
    </row>
    <row r="144" spans="1:13" x14ac:dyDescent="0.25">
      <c r="A144" t="s">
        <v>17</v>
      </c>
      <c r="B144">
        <v>100</v>
      </c>
      <c r="C144">
        <v>116.6382</v>
      </c>
      <c r="D144" cm="1">
        <f t="array" ref="D144">+LinInterp(C144,Sheet2!$J$42:$J$73,Sheet2!$K$42:$K$73)</f>
        <v>321.48800913955864</v>
      </c>
      <c r="E144">
        <v>69.13</v>
      </c>
      <c r="F144">
        <v>10200</v>
      </c>
      <c r="G144">
        <f t="shared" si="23"/>
        <v>3.5546005827476073</v>
      </c>
      <c r="H144">
        <f t="shared" si="24"/>
        <v>0.1304177752594621</v>
      </c>
      <c r="I144">
        <f t="shared" si="25"/>
        <v>4.4027824411817129E-2</v>
      </c>
      <c r="J144">
        <f t="shared" si="26"/>
        <v>5.7217647212544132E-2</v>
      </c>
      <c r="K144">
        <f t="shared" si="27"/>
        <v>5.7217647212544132E-2</v>
      </c>
      <c r="L144">
        <f t="shared" si="28"/>
        <v>1.1940223207156237E-5</v>
      </c>
      <c r="M144">
        <f t="shared" si="29"/>
        <v>7.8359641825322771E-6</v>
      </c>
    </row>
    <row r="145" spans="1:13" x14ac:dyDescent="0.25">
      <c r="A145" t="s">
        <v>17</v>
      </c>
      <c r="B145">
        <v>100</v>
      </c>
      <c r="C145">
        <v>126.20879999999998</v>
      </c>
      <c r="D145" cm="1">
        <f t="array" ref="D145">+LinInterp(C145,Sheet2!$J$42:$J$73,Sheet2!$K$42:$K$73)</f>
        <v>320.2436324920148</v>
      </c>
      <c r="E145">
        <v>68.260999999999996</v>
      </c>
      <c r="F145">
        <v>10200</v>
      </c>
      <c r="G145">
        <f t="shared" si="23"/>
        <v>3.8462688384069388</v>
      </c>
      <c r="H145">
        <f t="shared" si="24"/>
        <v>0.14057281447819869</v>
      </c>
      <c r="I145">
        <f t="shared" si="25"/>
        <v>4.3857406869070012E-2</v>
      </c>
      <c r="J145">
        <f t="shared" si="26"/>
        <v>5.1770218226611937E-2</v>
      </c>
      <c r="K145">
        <f t="shared" si="27"/>
        <v>5.1770218226611937E-2</v>
      </c>
      <c r="L145">
        <f t="shared" si="28"/>
        <v>1.0803449481463732E-5</v>
      </c>
      <c r="M145">
        <f t="shared" si="29"/>
        <v>7.0899380786960018E-6</v>
      </c>
    </row>
    <row r="146" spans="1:13" x14ac:dyDescent="0.25">
      <c r="A146" t="s">
        <v>17</v>
      </c>
      <c r="B146">
        <v>100</v>
      </c>
      <c r="C146">
        <v>135.77699999999999</v>
      </c>
      <c r="D146" cm="1">
        <f t="array" ref="D146">+LinInterp(C146,Sheet2!$J$42:$J$73,Sheet2!$K$42:$K$73)</f>
        <v>315.27740556789962</v>
      </c>
      <c r="E146">
        <v>68.137</v>
      </c>
      <c r="F146">
        <v>10200</v>
      </c>
      <c r="G146">
        <f t="shared" si="23"/>
        <v>4.137863953007864</v>
      </c>
      <c r="H146">
        <f t="shared" si="24"/>
        <v>0.14888476375002507</v>
      </c>
      <c r="I146">
        <f t="shared" si="25"/>
        <v>4.3177281449806662E-2</v>
      </c>
      <c r="J146">
        <f t="shared" si="26"/>
        <v>5.1036395662161796E-2</v>
      </c>
      <c r="K146">
        <f t="shared" si="27"/>
        <v>5.1036395662161796E-2</v>
      </c>
      <c r="L146">
        <f t="shared" si="28"/>
        <v>1.0650314816883159E-5</v>
      </c>
      <c r="M146">
        <f t="shared" si="29"/>
        <v>6.9894409836301176E-6</v>
      </c>
    </row>
    <row r="147" spans="1:13" x14ac:dyDescent="0.25">
      <c r="A147" t="s">
        <v>17</v>
      </c>
      <c r="B147">
        <v>100</v>
      </c>
      <c r="C147">
        <v>145.74419999999998</v>
      </c>
      <c r="D147" cm="1">
        <f t="array" ref="D147">+LinInterp(C147,Sheet2!$J$42:$J$73,Sheet2!$K$42:$K$73)</f>
        <v>301.21004293688281</v>
      </c>
      <c r="E147">
        <v>67.888000000000005</v>
      </c>
      <c r="F147">
        <v>10200</v>
      </c>
      <c r="G147">
        <f t="shared" si="23"/>
        <v>4.4416187685688202</v>
      </c>
      <c r="H147">
        <f t="shared" si="24"/>
        <v>0.1526834371671866</v>
      </c>
      <c r="I147">
        <f t="shared" si="25"/>
        <v>4.1250754318939702E-2</v>
      </c>
      <c r="J147">
        <f t="shared" si="26"/>
        <v>4.9594097975974014E-2</v>
      </c>
      <c r="K147">
        <f t="shared" si="27"/>
        <v>4.9594097975974014E-2</v>
      </c>
      <c r="L147">
        <f t="shared" si="28"/>
        <v>1.0349335011819249E-5</v>
      </c>
      <c r="M147">
        <f t="shared" si="29"/>
        <v>6.7919181290545999E-6</v>
      </c>
    </row>
    <row r="148" spans="1:13" x14ac:dyDescent="0.25">
      <c r="A148" t="s">
        <v>17</v>
      </c>
      <c r="B148">
        <v>100</v>
      </c>
      <c r="C148">
        <v>150.52979999999999</v>
      </c>
      <c r="D148" cm="1">
        <f t="array" ref="D148">+LinInterp(C148,Sheet2!$J$42:$J$73,Sheet2!$K$42:$K$73)</f>
        <v>293.47276553106207</v>
      </c>
      <c r="E148">
        <v>67.266999999999996</v>
      </c>
      <c r="F148">
        <v>10200</v>
      </c>
      <c r="G148">
        <f t="shared" si="23"/>
        <v>4.5874620390307879</v>
      </c>
      <c r="H148">
        <f t="shared" si="24"/>
        <v>0.15364608146634892</v>
      </c>
      <c r="I148">
        <f t="shared" si="25"/>
        <v>4.0191133177981016E-2</v>
      </c>
      <c r="J148">
        <f t="shared" si="26"/>
        <v>4.6172139132176944E-2</v>
      </c>
      <c r="K148">
        <f t="shared" si="27"/>
        <v>4.6172139132176944E-2</v>
      </c>
      <c r="L148">
        <f t="shared" si="28"/>
        <v>9.6352379737347902E-6</v>
      </c>
      <c r="M148">
        <f t="shared" si="29"/>
        <v>6.3232804230250729E-6</v>
      </c>
    </row>
    <row r="149" spans="1:13" x14ac:dyDescent="0.25">
      <c r="A149" t="s">
        <v>17</v>
      </c>
      <c r="B149">
        <v>100</v>
      </c>
      <c r="C149">
        <v>160.09980000000002</v>
      </c>
      <c r="D149" cm="1">
        <f t="array" ref="D149">+LinInterp(C149,Sheet2!$J$42:$J$73,Sheet2!$K$42:$K$73)</f>
        <v>268.55730045080873</v>
      </c>
      <c r="E149">
        <v>66.646000000000001</v>
      </c>
      <c r="F149">
        <v>10200</v>
      </c>
      <c r="G149">
        <f t="shared" si="23"/>
        <v>4.8791120094255174</v>
      </c>
      <c r="H149">
        <f t="shared" si="24"/>
        <v>0.1495405423855527</v>
      </c>
      <c r="I149">
        <f t="shared" si="25"/>
        <v>3.6778957014309679E-2</v>
      </c>
      <c r="J149">
        <f t="shared" si="26"/>
        <v>4.2986293108383568E-2</v>
      </c>
      <c r="K149">
        <f t="shared" si="27"/>
        <v>4.2986293108383568E-2</v>
      </c>
      <c r="L149">
        <f t="shared" si="28"/>
        <v>8.9704131429195798E-6</v>
      </c>
      <c r="M149">
        <f t="shared" si="29"/>
        <v>5.8869783982183849E-6</v>
      </c>
    </row>
    <row r="150" spans="1:13" x14ac:dyDescent="0.25">
      <c r="A150" t="s">
        <v>17</v>
      </c>
      <c r="B150">
        <v>100</v>
      </c>
      <c r="C150">
        <v>169.66980000000001</v>
      </c>
      <c r="D150" cm="1">
        <f t="array" ref="D150">+LinInterp(C150,Sheet2!$J$42:$J$73,Sheet2!$K$42:$K$73)</f>
        <v>237.84808581684609</v>
      </c>
      <c r="E150">
        <v>65.775999999999996</v>
      </c>
      <c r="F150">
        <v>10200</v>
      </c>
      <c r="G150">
        <f t="shared" si="23"/>
        <v>5.1707619798202478</v>
      </c>
      <c r="H150">
        <f t="shared" si="24"/>
        <v>0.14035743012965546</v>
      </c>
      <c r="I150">
        <f t="shared" si="25"/>
        <v>3.2573326100274622E-2</v>
      </c>
      <c r="J150">
        <f t="shared" si="26"/>
        <v>3.888928832896258E-2</v>
      </c>
      <c r="K150">
        <f t="shared" si="27"/>
        <v>3.888928832896258E-2</v>
      </c>
      <c r="L150">
        <f t="shared" si="28"/>
        <v>8.1154469929596812E-6</v>
      </c>
      <c r="M150">
        <f t="shared" si="29"/>
        <v>5.3258930640390359E-6</v>
      </c>
    </row>
    <row r="151" spans="1:13" x14ac:dyDescent="0.25">
      <c r="A151" t="s">
        <v>17</v>
      </c>
      <c r="B151">
        <v>100</v>
      </c>
      <c r="C151">
        <v>178.84139999999999</v>
      </c>
      <c r="D151" cm="1">
        <f t="array" ref="D151">+LinInterp(C151,Sheet2!$J$42:$J$73,Sheet2!$K$42:$K$73)</f>
        <v>209.28617330328072</v>
      </c>
      <c r="E151">
        <v>65.031000000000006</v>
      </c>
      <c r="F151">
        <v>10200</v>
      </c>
      <c r="G151">
        <f t="shared" si="23"/>
        <v>5.4502705345195483</v>
      </c>
      <c r="H151">
        <f t="shared" si="24"/>
        <v>0.13017866022000962</v>
      </c>
      <c r="I151">
        <f t="shared" si="25"/>
        <v>2.8661768489219065E-2</v>
      </c>
      <c r="J151">
        <f t="shared" si="26"/>
        <v>3.5692748813834649E-2</v>
      </c>
      <c r="K151">
        <f t="shared" si="27"/>
        <v>3.5692748813834649E-2</v>
      </c>
      <c r="L151">
        <f t="shared" si="28"/>
        <v>7.4483906360398741E-6</v>
      </c>
      <c r="M151">
        <f t="shared" si="29"/>
        <v>4.8881265642116863E-6</v>
      </c>
    </row>
    <row r="152" spans="1:13" x14ac:dyDescent="0.25">
      <c r="A152" t="s">
        <v>17</v>
      </c>
      <c r="B152">
        <v>100</v>
      </c>
      <c r="C152">
        <v>188.80859999999998</v>
      </c>
      <c r="D152" cm="1">
        <f t="array" ref="D152">+LinInterp(C152,Sheet2!$J$42:$J$73,Sheet2!$K$42:$K$73)</f>
        <v>175.15783621337346</v>
      </c>
      <c r="E152">
        <v>64.783000000000001</v>
      </c>
      <c r="F152">
        <v>10200</v>
      </c>
      <c r="G152">
        <f t="shared" si="23"/>
        <v>5.7540253500805045</v>
      </c>
      <c r="H152">
        <f t="shared" si="24"/>
        <v>0.11502243120580594</v>
      </c>
      <c r="I152">
        <f t="shared" si="25"/>
        <v>2.398788831283755E-2</v>
      </c>
      <c r="J152">
        <f t="shared" si="26"/>
        <v>3.4688058717340854E-2</v>
      </c>
      <c r="K152">
        <f t="shared" si="27"/>
        <v>3.4688058717340854E-2</v>
      </c>
      <c r="L152">
        <f t="shared" si="28"/>
        <v>7.2387311237989505E-6</v>
      </c>
      <c r="M152">
        <f t="shared" si="29"/>
        <v>4.7505341256161984E-6</v>
      </c>
    </row>
    <row r="153" spans="1:13" x14ac:dyDescent="0.25">
      <c r="A153" t="s">
        <v>17</v>
      </c>
      <c r="B153">
        <v>100</v>
      </c>
      <c r="C153">
        <v>198.77520000000001</v>
      </c>
      <c r="D153" cm="1">
        <f t="array" ref="D153">+LinInterp(C153,Sheet2!$J$42:$J$73,Sheet2!$K$42:$K$73)</f>
        <v>137.41293736501075</v>
      </c>
      <c r="E153">
        <v>64.906999999999996</v>
      </c>
      <c r="F153">
        <v>10200</v>
      </c>
      <c r="G153">
        <f t="shared" si="23"/>
        <v>6.0577618803768596</v>
      </c>
      <c r="H153">
        <f t="shared" si="24"/>
        <v>9.4999434869442942E-2</v>
      </c>
      <c r="I153">
        <f t="shared" si="25"/>
        <v>1.8818719536106875E-2</v>
      </c>
      <c r="J153">
        <f t="shared" si="26"/>
        <v>3.5186818080605017E-2</v>
      </c>
      <c r="K153">
        <f t="shared" si="27"/>
        <v>3.5186818080605017E-2</v>
      </c>
      <c r="L153">
        <f t="shared" si="28"/>
        <v>7.3428126163830709E-6</v>
      </c>
      <c r="M153">
        <f t="shared" si="29"/>
        <v>4.8188392848920198E-6</v>
      </c>
    </row>
    <row r="154" spans="1:13" x14ac:dyDescent="0.25">
      <c r="A154" t="s">
        <v>17</v>
      </c>
      <c r="B154">
        <v>100</v>
      </c>
      <c r="C154">
        <v>208.34279999999998</v>
      </c>
      <c r="D154" cm="1">
        <f t="array" ref="D154">+LinInterp(C154,Sheet2!$J$42:$J$73,Sheet2!$K$42:$K$73)</f>
        <v>99.856764954455869</v>
      </c>
      <c r="E154">
        <v>65.031000000000006</v>
      </c>
      <c r="F154">
        <v>10200</v>
      </c>
      <c r="G154">
        <f t="shared" si="23"/>
        <v>6.3493387097131828</v>
      </c>
      <c r="H154">
        <f t="shared" si="24"/>
        <v>7.2358105594809777E-2</v>
      </c>
      <c r="I154">
        <f t="shared" si="25"/>
        <v>1.3675396869431474E-2</v>
      </c>
      <c r="J154">
        <f t="shared" si="26"/>
        <v>3.5692748813834649E-2</v>
      </c>
      <c r="K154">
        <f t="shared" si="27"/>
        <v>3.5692748813834649E-2</v>
      </c>
      <c r="L154">
        <f t="shared" si="28"/>
        <v>7.4483906360398741E-6</v>
      </c>
      <c r="M154">
        <f t="shared" si="29"/>
        <v>4.8881265642116863E-6</v>
      </c>
    </row>
    <row r="155" spans="1:13" x14ac:dyDescent="0.25">
      <c r="A155" t="s">
        <v>17</v>
      </c>
      <c r="B155">
        <v>100</v>
      </c>
      <c r="C155">
        <v>218.30940000000001</v>
      </c>
      <c r="D155" cm="1">
        <f t="array" ref="D155">+LinInterp(C155,Sheet2!$J$42:$J$73,Sheet2!$K$42:$K$73)</f>
        <v>59.670814384453507</v>
      </c>
      <c r="E155">
        <v>65.28</v>
      </c>
      <c r="F155">
        <v>10200</v>
      </c>
      <c r="G155">
        <f t="shared" si="23"/>
        <v>6.6530752400095379</v>
      </c>
      <c r="H155">
        <f t="shared" si="24"/>
        <v>4.5307030691375538E-2</v>
      </c>
      <c r="I155">
        <f t="shared" si="25"/>
        <v>8.1719257438568668E-3</v>
      </c>
      <c r="J155">
        <f t="shared" si="26"/>
        <v>3.6730766866966962E-2</v>
      </c>
      <c r="K155">
        <f t="shared" si="27"/>
        <v>3.6730766866966962E-2</v>
      </c>
      <c r="L155">
        <f t="shared" si="28"/>
        <v>7.6650050522429295E-6</v>
      </c>
      <c r="M155">
        <f t="shared" si="29"/>
        <v>5.0302832707772692E-6</v>
      </c>
    </row>
    <row r="156" spans="1:13" x14ac:dyDescent="0.25">
      <c r="A156" t="s">
        <v>17</v>
      </c>
      <c r="B156">
        <v>100</v>
      </c>
      <c r="C156">
        <v>228.2766</v>
      </c>
      <c r="D156" cm="1">
        <f t="array" ref="D156">+LinInterp(C156,Sheet2!$J$42:$J$73,Sheet2!$K$42:$K$73)</f>
        <v>22.53265120210369</v>
      </c>
      <c r="E156">
        <v>65.031000000000006</v>
      </c>
      <c r="F156">
        <v>10200</v>
      </c>
      <c r="G156">
        <f t="shared" ref="G156" si="30">+(C156/60)/(((F156/60)*2*PI())*(($P$6/1000)^3))</f>
        <v>6.9568300555704941</v>
      </c>
      <c r="H156">
        <f t="shared" ref="H156" si="31">+((C156/60)*D156)/(1.2*(((F156/60)*2*PI())^3)*(($P$6/1000)^5))</f>
        <v>1.7889775428280182E-2</v>
      </c>
      <c r="I156">
        <f t="shared" ref="I156" si="32">+D156/((((F156/60)*2*PI())^2)*(($P$6/1000)^2))</f>
        <v>3.0858494950220194E-3</v>
      </c>
      <c r="J156">
        <f t="shared" ref="J156" si="33">+(10^(E156/20))*20*10^(-6)</f>
        <v>3.5692748813834649E-2</v>
      </c>
      <c r="K156">
        <f t="shared" ref="K156" si="34">+J156</f>
        <v>3.5692748813834649E-2</v>
      </c>
      <c r="L156">
        <f t="shared" ref="L156" si="35">+(J156)/(1.2*(((F156/60)*2*PI())^3)*(($P$6/1000)^5))</f>
        <v>7.4483906360398741E-6</v>
      </c>
      <c r="M156">
        <f t="shared" ref="M156" si="36">+J156/((((F156/60)*2*PI())^2)*(($P$6/1000)^2))</f>
        <v>4.8881265642116863E-6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C3D74-E9C2-4589-8212-73597859B2D2}">
  <sheetPr codeName="Sheet2"/>
  <dimension ref="A4:K81"/>
  <sheetViews>
    <sheetView topLeftCell="A24" zoomScale="70" zoomScaleNormal="70" workbookViewId="0">
      <selection activeCell="L18" sqref="L18"/>
    </sheetView>
  </sheetViews>
  <sheetFormatPr defaultRowHeight="15" x14ac:dyDescent="0.25"/>
  <cols>
    <col min="1" max="1" width="25.42578125" customWidth="1"/>
  </cols>
  <sheetData>
    <row r="4" spans="1:11" x14ac:dyDescent="0.25">
      <c r="A4" t="s">
        <v>4</v>
      </c>
      <c r="B4">
        <v>0</v>
      </c>
      <c r="C4">
        <v>0.87719999999999998</v>
      </c>
      <c r="D4">
        <v>59.41</v>
      </c>
      <c r="I4">
        <v>0</v>
      </c>
      <c r="J4">
        <v>0.59460000000000002</v>
      </c>
      <c r="K4">
        <v>112.38</v>
      </c>
    </row>
    <row r="5" spans="1:11" x14ac:dyDescent="0.25">
      <c r="A5" t="s">
        <v>4</v>
      </c>
      <c r="B5">
        <v>0</v>
      </c>
      <c r="C5">
        <v>3.4308000000000001</v>
      </c>
      <c r="D5">
        <v>52.2</v>
      </c>
      <c r="I5">
        <v>0</v>
      </c>
      <c r="J5">
        <v>9.3774000000000015</v>
      </c>
      <c r="K5">
        <v>102.41</v>
      </c>
    </row>
    <row r="6" spans="1:11" x14ac:dyDescent="0.25">
      <c r="A6" t="s">
        <v>4</v>
      </c>
      <c r="B6">
        <v>0</v>
      </c>
      <c r="C6">
        <v>6.54</v>
      </c>
      <c r="D6">
        <v>45.11</v>
      </c>
      <c r="I6">
        <v>0</v>
      </c>
      <c r="J6">
        <v>18.958199999999998</v>
      </c>
      <c r="K6">
        <v>93.68</v>
      </c>
    </row>
    <row r="7" spans="1:11" x14ac:dyDescent="0.25">
      <c r="A7" t="s">
        <v>4</v>
      </c>
      <c r="B7">
        <v>0</v>
      </c>
      <c r="C7">
        <v>6.8003999999999998</v>
      </c>
      <c r="D7">
        <v>46.11</v>
      </c>
      <c r="I7">
        <v>0</v>
      </c>
      <c r="J7">
        <v>28.538399999999999</v>
      </c>
      <c r="K7">
        <v>84.96</v>
      </c>
    </row>
    <row r="8" spans="1:11" x14ac:dyDescent="0.25">
      <c r="A8" t="s">
        <v>4</v>
      </c>
      <c r="B8">
        <v>0</v>
      </c>
      <c r="C8">
        <v>7.5174000000000003</v>
      </c>
      <c r="D8">
        <v>42.85</v>
      </c>
      <c r="I8">
        <v>0</v>
      </c>
      <c r="J8">
        <v>30.534599999999998</v>
      </c>
      <c r="K8">
        <v>84.95</v>
      </c>
    </row>
    <row r="9" spans="1:11" x14ac:dyDescent="0.25">
      <c r="A9" t="s">
        <v>4</v>
      </c>
      <c r="B9">
        <v>0</v>
      </c>
      <c r="C9">
        <v>10.182600000000001</v>
      </c>
      <c r="D9">
        <v>38.659999999999997</v>
      </c>
      <c r="I9">
        <v>0</v>
      </c>
      <c r="J9">
        <v>40.114799999999995</v>
      </c>
      <c r="K9">
        <v>81.2</v>
      </c>
    </row>
    <row r="10" spans="1:11" x14ac:dyDescent="0.25">
      <c r="A10" t="s">
        <v>4</v>
      </c>
      <c r="B10">
        <v>0</v>
      </c>
      <c r="C10">
        <v>13.2882</v>
      </c>
      <c r="D10">
        <v>35.869999999999997</v>
      </c>
      <c r="I10">
        <v>0</v>
      </c>
      <c r="J10">
        <v>49.695</v>
      </c>
      <c r="K10">
        <v>73.709999999999994</v>
      </c>
    </row>
    <row r="11" spans="1:11" x14ac:dyDescent="0.25">
      <c r="A11" t="s">
        <v>4</v>
      </c>
      <c r="B11">
        <v>0</v>
      </c>
      <c r="C11">
        <v>13.4262</v>
      </c>
      <c r="D11">
        <v>34.14</v>
      </c>
      <c r="I11">
        <v>0</v>
      </c>
      <c r="J11">
        <v>59.674199999999999</v>
      </c>
      <c r="K11">
        <v>71.2</v>
      </c>
    </row>
    <row r="12" spans="1:11" x14ac:dyDescent="0.25">
      <c r="A12" t="s">
        <v>4</v>
      </c>
      <c r="B12">
        <v>0</v>
      </c>
      <c r="C12">
        <v>14.403</v>
      </c>
      <c r="D12">
        <v>32.369999999999997</v>
      </c>
      <c r="I12">
        <v>0</v>
      </c>
      <c r="J12">
        <v>69.25439999999999</v>
      </c>
      <c r="K12">
        <v>67.44</v>
      </c>
    </row>
    <row r="13" spans="1:11" x14ac:dyDescent="0.25">
      <c r="A13" t="s">
        <v>4</v>
      </c>
      <c r="B13">
        <v>0</v>
      </c>
      <c r="C13">
        <v>16.713000000000001</v>
      </c>
      <c r="D13">
        <v>28.5</v>
      </c>
      <c r="I13">
        <v>0</v>
      </c>
      <c r="J13">
        <v>78.8352</v>
      </c>
      <c r="K13">
        <v>58.72</v>
      </c>
    </row>
    <row r="14" spans="1:11" x14ac:dyDescent="0.25">
      <c r="A14" t="s">
        <v>4</v>
      </c>
      <c r="B14">
        <v>0</v>
      </c>
      <c r="C14">
        <v>19.493400000000001</v>
      </c>
      <c r="D14">
        <v>24.61</v>
      </c>
      <c r="I14">
        <v>0</v>
      </c>
      <c r="J14">
        <v>87.617999999999995</v>
      </c>
      <c r="K14">
        <v>43.78</v>
      </c>
    </row>
    <row r="15" spans="1:11" x14ac:dyDescent="0.25">
      <c r="A15" t="s">
        <v>4</v>
      </c>
      <c r="B15">
        <v>0</v>
      </c>
      <c r="C15">
        <v>21.7332</v>
      </c>
      <c r="D15">
        <v>20.6</v>
      </c>
      <c r="I15">
        <v>0</v>
      </c>
      <c r="J15">
        <v>96.400800000000004</v>
      </c>
      <c r="K15">
        <v>30.09</v>
      </c>
    </row>
    <row r="16" spans="1:11" x14ac:dyDescent="0.25">
      <c r="A16" t="s">
        <v>4</v>
      </c>
      <c r="B16">
        <v>0</v>
      </c>
      <c r="C16">
        <v>25.199399999999997</v>
      </c>
      <c r="D16">
        <v>20.6</v>
      </c>
      <c r="I16">
        <v>0</v>
      </c>
      <c r="J16">
        <v>104.7852</v>
      </c>
      <c r="K16">
        <v>13.91</v>
      </c>
    </row>
    <row r="17" spans="1:11" x14ac:dyDescent="0.25">
      <c r="A17" t="s">
        <v>4</v>
      </c>
      <c r="B17">
        <v>0</v>
      </c>
      <c r="C17">
        <v>26.546399999999998</v>
      </c>
      <c r="D17">
        <v>20.51</v>
      </c>
      <c r="I17">
        <v>0</v>
      </c>
      <c r="J17">
        <v>110.7642</v>
      </c>
      <c r="K17">
        <v>1.24</v>
      </c>
    </row>
    <row r="18" spans="1:11" x14ac:dyDescent="0.25">
      <c r="A18" t="s">
        <v>4</v>
      </c>
      <c r="B18">
        <v>0</v>
      </c>
      <c r="C18">
        <v>30.496799999999997</v>
      </c>
      <c r="D18">
        <v>19.489999999999998</v>
      </c>
      <c r="I18">
        <v>50</v>
      </c>
      <c r="J18">
        <v>0.97199999999999998</v>
      </c>
      <c r="K18">
        <v>312.42</v>
      </c>
    </row>
    <row r="19" spans="1:11" x14ac:dyDescent="0.25">
      <c r="A19" t="s">
        <v>4</v>
      </c>
      <c r="B19">
        <v>0</v>
      </c>
      <c r="C19">
        <v>31.686599999999999</v>
      </c>
      <c r="D19">
        <v>18.010000000000002</v>
      </c>
      <c r="I19">
        <v>50</v>
      </c>
      <c r="J19">
        <v>10.1532</v>
      </c>
      <c r="K19">
        <v>302.45</v>
      </c>
    </row>
    <row r="20" spans="1:11" x14ac:dyDescent="0.25">
      <c r="A20" t="s">
        <v>4</v>
      </c>
      <c r="B20">
        <v>0</v>
      </c>
      <c r="C20">
        <v>33.730199999999996</v>
      </c>
      <c r="D20">
        <v>16.079999999999998</v>
      </c>
      <c r="I20">
        <v>50</v>
      </c>
      <c r="J20">
        <v>19.335599999999999</v>
      </c>
      <c r="K20">
        <v>288.76</v>
      </c>
    </row>
    <row r="21" spans="1:11" x14ac:dyDescent="0.25">
      <c r="A21" t="s">
        <v>4</v>
      </c>
      <c r="B21">
        <v>0</v>
      </c>
      <c r="C21">
        <v>36.9846</v>
      </c>
      <c r="D21">
        <v>12.32</v>
      </c>
      <c r="I21">
        <v>50</v>
      </c>
      <c r="J21">
        <v>28.117799999999999</v>
      </c>
      <c r="K21">
        <v>278.79000000000002</v>
      </c>
    </row>
    <row r="22" spans="1:11" x14ac:dyDescent="0.25">
      <c r="A22" t="s">
        <v>4</v>
      </c>
      <c r="B22">
        <v>0</v>
      </c>
      <c r="C22">
        <v>37.994999999999997</v>
      </c>
      <c r="D22">
        <v>10.11</v>
      </c>
      <c r="I22">
        <v>50</v>
      </c>
      <c r="J22">
        <v>30.5136</v>
      </c>
      <c r="K22">
        <v>275.06</v>
      </c>
    </row>
    <row r="23" spans="1:11" x14ac:dyDescent="0.25">
      <c r="A23" t="s">
        <v>4</v>
      </c>
      <c r="B23">
        <v>0</v>
      </c>
      <c r="C23">
        <v>40.349400000000003</v>
      </c>
      <c r="D23">
        <v>5.92</v>
      </c>
      <c r="I23">
        <v>50</v>
      </c>
      <c r="J23">
        <v>39.695399999999999</v>
      </c>
      <c r="K23">
        <v>262.61</v>
      </c>
    </row>
    <row r="24" spans="1:11" x14ac:dyDescent="0.25">
      <c r="A24" t="s">
        <v>4</v>
      </c>
      <c r="B24">
        <v>0</v>
      </c>
      <c r="C24">
        <v>43.059599999999996</v>
      </c>
      <c r="D24">
        <v>1.25</v>
      </c>
      <c r="I24">
        <v>50</v>
      </c>
      <c r="J24">
        <v>48.876599999999996</v>
      </c>
      <c r="K24">
        <v>253.88</v>
      </c>
    </row>
    <row r="25" spans="1:11" x14ac:dyDescent="0.25">
      <c r="A25" t="s">
        <v>4</v>
      </c>
      <c r="B25">
        <v>50</v>
      </c>
      <c r="C25">
        <v>0.91500000000000004</v>
      </c>
      <c r="D25">
        <v>280.36</v>
      </c>
      <c r="I25">
        <v>50</v>
      </c>
      <c r="J25">
        <v>58.4574</v>
      </c>
      <c r="K25">
        <v>246.4</v>
      </c>
    </row>
    <row r="26" spans="1:11" x14ac:dyDescent="0.25">
      <c r="A26" t="s">
        <v>4</v>
      </c>
      <c r="B26">
        <v>50</v>
      </c>
      <c r="C26">
        <v>5.1437999999999997</v>
      </c>
      <c r="D26">
        <v>259.89999999999998</v>
      </c>
      <c r="I26">
        <v>50</v>
      </c>
      <c r="J26">
        <v>68.037599999999998</v>
      </c>
      <c r="K26">
        <v>238.92</v>
      </c>
    </row>
    <row r="27" spans="1:11" x14ac:dyDescent="0.25">
      <c r="A27" t="s">
        <v>4</v>
      </c>
      <c r="B27">
        <v>50</v>
      </c>
      <c r="C27">
        <v>9.0906000000000002</v>
      </c>
      <c r="D27">
        <v>238.41</v>
      </c>
      <c r="I27">
        <v>50</v>
      </c>
      <c r="J27">
        <v>76.821000000000012</v>
      </c>
      <c r="K27">
        <v>225.22</v>
      </c>
    </row>
    <row r="28" spans="1:11" x14ac:dyDescent="0.25">
      <c r="A28" t="s">
        <v>4</v>
      </c>
      <c r="B28">
        <v>50</v>
      </c>
      <c r="C28">
        <v>13.3194</v>
      </c>
      <c r="D28">
        <v>217.95</v>
      </c>
      <c r="I28">
        <v>50</v>
      </c>
      <c r="J28">
        <v>86.401200000000003</v>
      </c>
      <c r="K28">
        <v>217.74</v>
      </c>
    </row>
    <row r="29" spans="1:11" x14ac:dyDescent="0.25">
      <c r="A29" t="s">
        <v>4</v>
      </c>
      <c r="B29">
        <v>50</v>
      </c>
      <c r="C29">
        <v>18.3948</v>
      </c>
      <c r="D29">
        <v>197.48</v>
      </c>
      <c r="I29">
        <v>50</v>
      </c>
      <c r="J29">
        <v>95.981400000000008</v>
      </c>
      <c r="K29">
        <v>213.98</v>
      </c>
    </row>
    <row r="30" spans="1:11" x14ac:dyDescent="0.25">
      <c r="A30" t="s">
        <v>4</v>
      </c>
      <c r="B30">
        <v>50</v>
      </c>
      <c r="C30">
        <v>20.635200000000001</v>
      </c>
      <c r="D30">
        <v>187.52</v>
      </c>
      <c r="I30">
        <v>50</v>
      </c>
      <c r="J30">
        <v>105.9606</v>
      </c>
      <c r="K30">
        <v>210.23</v>
      </c>
    </row>
    <row r="31" spans="1:11" x14ac:dyDescent="0.25">
      <c r="A31" t="s">
        <v>4</v>
      </c>
      <c r="B31">
        <v>50</v>
      </c>
      <c r="C31">
        <v>23.752800000000001</v>
      </c>
      <c r="D31">
        <v>181.11</v>
      </c>
      <c r="I31">
        <v>50</v>
      </c>
      <c r="J31">
        <v>115.1418</v>
      </c>
      <c r="K31">
        <v>202.74</v>
      </c>
    </row>
    <row r="32" spans="1:11" x14ac:dyDescent="0.25">
      <c r="A32" t="s">
        <v>4</v>
      </c>
      <c r="B32">
        <v>50</v>
      </c>
      <c r="C32">
        <v>29.110800000000001</v>
      </c>
      <c r="D32">
        <v>164.74</v>
      </c>
      <c r="I32">
        <v>50</v>
      </c>
      <c r="J32">
        <v>123.9252</v>
      </c>
      <c r="K32">
        <v>187.81</v>
      </c>
    </row>
    <row r="33" spans="1:11" x14ac:dyDescent="0.25">
      <c r="A33" t="s">
        <v>4</v>
      </c>
      <c r="B33">
        <v>50</v>
      </c>
      <c r="C33">
        <v>30.520800000000001</v>
      </c>
      <c r="D33">
        <v>158.6</v>
      </c>
      <c r="I33">
        <v>50</v>
      </c>
      <c r="J33">
        <v>131.91</v>
      </c>
      <c r="K33">
        <v>170.39</v>
      </c>
    </row>
    <row r="34" spans="1:11" x14ac:dyDescent="0.25">
      <c r="A34" t="s">
        <v>4</v>
      </c>
      <c r="B34">
        <v>50</v>
      </c>
      <c r="C34">
        <v>35.3142</v>
      </c>
      <c r="D34">
        <v>140.18</v>
      </c>
      <c r="I34">
        <v>50</v>
      </c>
      <c r="J34">
        <v>139.8954</v>
      </c>
      <c r="K34">
        <v>152.97</v>
      </c>
    </row>
    <row r="35" spans="1:11" x14ac:dyDescent="0.25">
      <c r="A35" t="s">
        <v>4</v>
      </c>
      <c r="B35">
        <v>50</v>
      </c>
      <c r="C35">
        <v>37.645800000000001</v>
      </c>
      <c r="D35">
        <v>130.66999999999999</v>
      </c>
      <c r="I35">
        <v>50</v>
      </c>
      <c r="J35">
        <v>147.4812</v>
      </c>
      <c r="K35">
        <v>134.31</v>
      </c>
    </row>
    <row r="36" spans="1:11" x14ac:dyDescent="0.25">
      <c r="A36" t="s">
        <v>4</v>
      </c>
      <c r="B36">
        <v>50</v>
      </c>
      <c r="C36">
        <v>40.107600000000005</v>
      </c>
      <c r="D36">
        <v>122.79</v>
      </c>
      <c r="I36">
        <v>50</v>
      </c>
      <c r="J36">
        <v>150.67500000000001</v>
      </c>
      <c r="K36">
        <v>126.85</v>
      </c>
    </row>
    <row r="37" spans="1:11" x14ac:dyDescent="0.25">
      <c r="A37" t="s">
        <v>4</v>
      </c>
      <c r="B37">
        <v>50</v>
      </c>
      <c r="C37">
        <v>42.569399999999995</v>
      </c>
      <c r="D37">
        <v>113.2</v>
      </c>
      <c r="I37">
        <v>50</v>
      </c>
      <c r="J37">
        <v>158.26140000000001</v>
      </c>
      <c r="K37">
        <v>106.94</v>
      </c>
    </row>
    <row r="38" spans="1:11" x14ac:dyDescent="0.25">
      <c r="A38" t="s">
        <v>4</v>
      </c>
      <c r="B38">
        <v>50</v>
      </c>
      <c r="C38">
        <v>45.183599999999998</v>
      </c>
      <c r="D38">
        <v>105.39</v>
      </c>
      <c r="I38">
        <v>50</v>
      </c>
      <c r="J38">
        <v>165.84720000000002</v>
      </c>
      <c r="K38">
        <v>88.28</v>
      </c>
    </row>
    <row r="39" spans="1:11" x14ac:dyDescent="0.25">
      <c r="A39" t="s">
        <v>4</v>
      </c>
      <c r="B39">
        <v>50</v>
      </c>
      <c r="C39">
        <v>49.132199999999997</v>
      </c>
      <c r="D39">
        <v>97.2</v>
      </c>
      <c r="I39">
        <v>50</v>
      </c>
      <c r="J39">
        <v>172.63560000000001</v>
      </c>
      <c r="K39">
        <v>65.900000000000006</v>
      </c>
    </row>
    <row r="40" spans="1:11" x14ac:dyDescent="0.25">
      <c r="A40" t="s">
        <v>4</v>
      </c>
      <c r="B40">
        <v>50</v>
      </c>
      <c r="C40">
        <v>56.1858</v>
      </c>
      <c r="D40">
        <v>96.17</v>
      </c>
      <c r="I40">
        <v>50</v>
      </c>
      <c r="J40">
        <v>179.42340000000002</v>
      </c>
      <c r="K40">
        <v>42.27</v>
      </c>
    </row>
    <row r="41" spans="1:11" x14ac:dyDescent="0.25">
      <c r="A41" t="s">
        <v>4</v>
      </c>
      <c r="B41">
        <v>50</v>
      </c>
      <c r="C41">
        <v>62.956800000000001</v>
      </c>
      <c r="D41">
        <v>93.1</v>
      </c>
      <c r="I41">
        <v>50</v>
      </c>
      <c r="J41">
        <v>186.21180000000001</v>
      </c>
      <c r="K41">
        <v>21.13</v>
      </c>
    </row>
    <row r="42" spans="1:11" x14ac:dyDescent="0.25">
      <c r="A42" t="s">
        <v>4</v>
      </c>
      <c r="B42">
        <v>50</v>
      </c>
      <c r="C42">
        <v>69.4452</v>
      </c>
      <c r="D42">
        <v>84.9</v>
      </c>
      <c r="I42">
        <v>100</v>
      </c>
      <c r="J42">
        <v>0.95219999999999994</v>
      </c>
      <c r="K42">
        <v>488.86</v>
      </c>
    </row>
    <row r="43" spans="1:11" x14ac:dyDescent="0.25">
      <c r="A43" t="s">
        <v>4</v>
      </c>
      <c r="B43">
        <v>50</v>
      </c>
      <c r="C43">
        <v>75.368400000000008</v>
      </c>
      <c r="D43">
        <v>71.599999999999994</v>
      </c>
      <c r="I43">
        <v>100</v>
      </c>
      <c r="J43">
        <v>8.9375999999999998</v>
      </c>
      <c r="K43">
        <v>470.2</v>
      </c>
    </row>
    <row r="44" spans="1:11" x14ac:dyDescent="0.25">
      <c r="A44" t="s">
        <v>4</v>
      </c>
      <c r="B44">
        <v>50</v>
      </c>
      <c r="C44">
        <v>77.608199999999997</v>
      </c>
      <c r="D44">
        <v>64.040000000000006</v>
      </c>
      <c r="I44">
        <v>100</v>
      </c>
      <c r="J44">
        <v>17.321400000000001</v>
      </c>
      <c r="K44">
        <v>452.78</v>
      </c>
    </row>
    <row r="45" spans="1:11" x14ac:dyDescent="0.25">
      <c r="A45" t="s">
        <v>4</v>
      </c>
      <c r="B45">
        <v>50</v>
      </c>
      <c r="C45">
        <v>80.725799999999992</v>
      </c>
      <c r="D45">
        <v>54.2</v>
      </c>
      <c r="I45">
        <v>100</v>
      </c>
      <c r="J45">
        <v>25.306799999999999</v>
      </c>
      <c r="K45">
        <v>435.36</v>
      </c>
    </row>
    <row r="46" spans="1:11" x14ac:dyDescent="0.25">
      <c r="A46" t="s">
        <v>4</v>
      </c>
      <c r="B46">
        <v>50</v>
      </c>
      <c r="C46">
        <v>81.9726</v>
      </c>
      <c r="D46">
        <v>47.8</v>
      </c>
      <c r="I46">
        <v>100</v>
      </c>
      <c r="J46">
        <v>30.496799999999997</v>
      </c>
      <c r="K46">
        <v>425.41</v>
      </c>
    </row>
    <row r="47" spans="1:11" x14ac:dyDescent="0.25">
      <c r="A47" t="s">
        <v>4</v>
      </c>
      <c r="B47">
        <v>50</v>
      </c>
      <c r="C47">
        <v>85.8018</v>
      </c>
      <c r="D47">
        <v>37.83</v>
      </c>
      <c r="I47">
        <v>100</v>
      </c>
      <c r="J47">
        <v>39.279600000000002</v>
      </c>
      <c r="K47">
        <v>410.47</v>
      </c>
    </row>
    <row r="48" spans="1:11" x14ac:dyDescent="0.25">
      <c r="A48" t="s">
        <v>4</v>
      </c>
      <c r="B48">
        <v>50</v>
      </c>
      <c r="C48">
        <v>87.680400000000006</v>
      </c>
      <c r="D48">
        <v>30.75</v>
      </c>
      <c r="I48">
        <v>100</v>
      </c>
      <c r="J48">
        <v>48.063000000000002</v>
      </c>
      <c r="K48">
        <v>395.53</v>
      </c>
    </row>
    <row r="49" spans="1:11" x14ac:dyDescent="0.25">
      <c r="A49" t="s">
        <v>4</v>
      </c>
      <c r="B49">
        <v>50</v>
      </c>
      <c r="C49">
        <v>91.484999999999999</v>
      </c>
      <c r="D49">
        <v>16.53</v>
      </c>
      <c r="I49">
        <v>100</v>
      </c>
      <c r="J49">
        <v>56.845799999999997</v>
      </c>
      <c r="K49">
        <v>381.84</v>
      </c>
    </row>
    <row r="50" spans="1:11" x14ac:dyDescent="0.25">
      <c r="A50" t="s">
        <v>4</v>
      </c>
      <c r="B50">
        <v>50</v>
      </c>
      <c r="C50">
        <v>95.625600000000006</v>
      </c>
      <c r="D50">
        <v>2.73</v>
      </c>
      <c r="I50">
        <v>100</v>
      </c>
      <c r="J50">
        <v>66.027600000000007</v>
      </c>
      <c r="K50">
        <v>369.39</v>
      </c>
    </row>
    <row r="51" spans="1:11" x14ac:dyDescent="0.25">
      <c r="A51" t="s">
        <v>4</v>
      </c>
      <c r="B51">
        <v>100</v>
      </c>
      <c r="C51">
        <v>1.2312000000000001</v>
      </c>
      <c r="D51">
        <v>475.73</v>
      </c>
      <c r="I51">
        <v>100</v>
      </c>
      <c r="J51">
        <v>75.607799999999997</v>
      </c>
      <c r="K51">
        <v>363.15</v>
      </c>
    </row>
    <row r="52" spans="1:11" x14ac:dyDescent="0.25">
      <c r="A52" t="s">
        <v>4</v>
      </c>
      <c r="B52">
        <v>100</v>
      </c>
      <c r="C52">
        <v>5.46</v>
      </c>
      <c r="D52">
        <v>455.27</v>
      </c>
      <c r="I52">
        <v>100</v>
      </c>
      <c r="J52">
        <v>84.789599999999993</v>
      </c>
      <c r="K52">
        <v>353.18</v>
      </c>
    </row>
    <row r="53" spans="1:11" x14ac:dyDescent="0.25">
      <c r="A53" t="s">
        <v>4</v>
      </c>
      <c r="B53">
        <v>100</v>
      </c>
      <c r="C53">
        <v>9.6888000000000005</v>
      </c>
      <c r="D53">
        <v>434.8</v>
      </c>
      <c r="I53">
        <v>100</v>
      </c>
      <c r="J53">
        <v>93.173400000000001</v>
      </c>
      <c r="K53">
        <v>337</v>
      </c>
    </row>
    <row r="54" spans="1:11" x14ac:dyDescent="0.25">
      <c r="A54" t="s">
        <v>4</v>
      </c>
      <c r="B54">
        <v>100</v>
      </c>
      <c r="C54">
        <v>14.482200000000001</v>
      </c>
      <c r="D54">
        <v>417.41</v>
      </c>
      <c r="I54">
        <v>100</v>
      </c>
      <c r="J54">
        <v>102.3558</v>
      </c>
      <c r="K54">
        <v>324.55</v>
      </c>
    </row>
    <row r="55" spans="1:11" x14ac:dyDescent="0.25">
      <c r="A55" t="s">
        <v>4</v>
      </c>
      <c r="B55">
        <v>100</v>
      </c>
      <c r="C55">
        <v>19.558199999999999</v>
      </c>
      <c r="D55">
        <v>400.01</v>
      </c>
      <c r="I55">
        <v>100</v>
      </c>
      <c r="J55">
        <v>112.33499999999999</v>
      </c>
      <c r="K55">
        <v>322.04000000000002</v>
      </c>
    </row>
    <row r="56" spans="1:11" x14ac:dyDescent="0.25">
      <c r="A56" t="s">
        <v>4</v>
      </c>
      <c r="B56">
        <v>100</v>
      </c>
      <c r="C56">
        <v>25.198799999999999</v>
      </c>
      <c r="D56">
        <v>384.66</v>
      </c>
      <c r="I56">
        <v>100</v>
      </c>
      <c r="J56">
        <v>122.31359999999999</v>
      </c>
      <c r="K56">
        <v>320.76</v>
      </c>
    </row>
    <row r="57" spans="1:11" x14ac:dyDescent="0.25">
      <c r="A57" t="s">
        <v>4</v>
      </c>
      <c r="B57">
        <v>100</v>
      </c>
      <c r="C57">
        <v>30.557400000000001</v>
      </c>
      <c r="D57">
        <v>372.38</v>
      </c>
      <c r="I57">
        <v>100</v>
      </c>
      <c r="J57">
        <v>131.8938</v>
      </c>
      <c r="K57">
        <v>319.49</v>
      </c>
    </row>
    <row r="58" spans="1:11" x14ac:dyDescent="0.25">
      <c r="A58" t="s">
        <v>4</v>
      </c>
      <c r="B58">
        <v>100</v>
      </c>
      <c r="C58">
        <v>36.762599999999999</v>
      </c>
      <c r="D58">
        <v>360.1</v>
      </c>
      <c r="I58">
        <v>100</v>
      </c>
      <c r="J58">
        <v>141.07499999999999</v>
      </c>
      <c r="K58">
        <v>309.52999999999997</v>
      </c>
    </row>
    <row r="59" spans="1:11" x14ac:dyDescent="0.25">
      <c r="A59" t="s">
        <v>4</v>
      </c>
      <c r="B59">
        <v>100</v>
      </c>
      <c r="C59">
        <v>42.968400000000003</v>
      </c>
      <c r="D59">
        <v>348.84</v>
      </c>
      <c r="I59">
        <v>100</v>
      </c>
      <c r="J59">
        <v>149.45940000000002</v>
      </c>
      <c r="K59">
        <v>294.58999999999997</v>
      </c>
    </row>
    <row r="60" spans="1:11" x14ac:dyDescent="0.25">
      <c r="A60" t="s">
        <v>4</v>
      </c>
      <c r="B60">
        <v>100</v>
      </c>
      <c r="C60">
        <v>48.890999999999998</v>
      </c>
      <c r="D60">
        <v>334.51</v>
      </c>
      <c r="I60">
        <v>100</v>
      </c>
      <c r="J60">
        <v>150.65699999999998</v>
      </c>
      <c r="K60">
        <v>293.33999999999997</v>
      </c>
    </row>
    <row r="61" spans="1:11" x14ac:dyDescent="0.25">
      <c r="A61" t="s">
        <v>4</v>
      </c>
      <c r="B61">
        <v>100</v>
      </c>
      <c r="C61">
        <v>53.966999999999999</v>
      </c>
      <c r="D61">
        <v>318.14</v>
      </c>
      <c r="I61">
        <v>100</v>
      </c>
      <c r="J61">
        <v>158.24279999999999</v>
      </c>
      <c r="K61">
        <v>274.68</v>
      </c>
    </row>
    <row r="62" spans="1:11" x14ac:dyDescent="0.25">
      <c r="A62" t="s">
        <v>4</v>
      </c>
      <c r="B62">
        <v>100</v>
      </c>
      <c r="C62">
        <v>59.323799999999999</v>
      </c>
      <c r="D62">
        <v>295.63</v>
      </c>
      <c r="I62">
        <v>100</v>
      </c>
      <c r="J62">
        <v>165.03059999999999</v>
      </c>
      <c r="K62">
        <v>252.3</v>
      </c>
    </row>
    <row r="63" spans="1:11" x14ac:dyDescent="0.25">
      <c r="A63" t="s">
        <v>4</v>
      </c>
      <c r="B63">
        <v>100</v>
      </c>
      <c r="C63">
        <v>63.8352</v>
      </c>
      <c r="D63">
        <v>276.19</v>
      </c>
      <c r="I63">
        <v>100</v>
      </c>
      <c r="J63">
        <v>172.21799999999999</v>
      </c>
      <c r="K63">
        <v>229.91</v>
      </c>
    </row>
    <row r="64" spans="1:11" x14ac:dyDescent="0.25">
      <c r="A64" t="s">
        <v>4</v>
      </c>
      <c r="B64">
        <v>100</v>
      </c>
      <c r="C64">
        <v>68.911199999999994</v>
      </c>
      <c r="D64">
        <v>259.82</v>
      </c>
      <c r="I64">
        <v>100</v>
      </c>
      <c r="J64">
        <v>179.40539999999999</v>
      </c>
      <c r="K64">
        <v>207.53</v>
      </c>
    </row>
    <row r="65" spans="1:11" x14ac:dyDescent="0.25">
      <c r="A65" t="s">
        <v>4</v>
      </c>
      <c r="B65">
        <v>100</v>
      </c>
      <c r="C65">
        <v>74.551199999999994</v>
      </c>
      <c r="D65">
        <v>244.47</v>
      </c>
      <c r="I65">
        <v>100</v>
      </c>
      <c r="J65">
        <v>181.00259999999997</v>
      </c>
      <c r="K65">
        <v>201.31</v>
      </c>
    </row>
    <row r="66" spans="1:11" x14ac:dyDescent="0.25">
      <c r="A66" t="s">
        <v>4</v>
      </c>
      <c r="B66">
        <v>100</v>
      </c>
      <c r="C66">
        <v>81.039000000000001</v>
      </c>
      <c r="D66">
        <v>233.21</v>
      </c>
      <c r="I66">
        <v>100</v>
      </c>
      <c r="J66">
        <v>187.791</v>
      </c>
      <c r="K66">
        <v>178.92</v>
      </c>
    </row>
    <row r="67" spans="1:11" x14ac:dyDescent="0.25">
      <c r="A67" t="s">
        <v>4</v>
      </c>
      <c r="B67">
        <v>100</v>
      </c>
      <c r="C67">
        <v>87.81</v>
      </c>
      <c r="D67">
        <v>228.09</v>
      </c>
      <c r="I67">
        <v>100</v>
      </c>
      <c r="J67">
        <v>194.1798</v>
      </c>
      <c r="K67">
        <v>155.30000000000001</v>
      </c>
    </row>
    <row r="68" spans="1:11" x14ac:dyDescent="0.25">
      <c r="A68" t="s">
        <v>4</v>
      </c>
      <c r="B68">
        <v>100</v>
      </c>
      <c r="C68">
        <v>90.631200000000007</v>
      </c>
      <c r="D68">
        <v>227.06</v>
      </c>
      <c r="I68">
        <v>100</v>
      </c>
      <c r="J68">
        <v>200.5692</v>
      </c>
      <c r="K68">
        <v>130.43</v>
      </c>
    </row>
    <row r="69" spans="1:11" x14ac:dyDescent="0.25">
      <c r="A69" t="s">
        <v>4</v>
      </c>
      <c r="B69">
        <v>100</v>
      </c>
      <c r="C69">
        <v>97.684799999999996</v>
      </c>
      <c r="D69">
        <v>225.01</v>
      </c>
      <c r="I69">
        <v>100</v>
      </c>
      <c r="J69">
        <v>206.559</v>
      </c>
      <c r="K69">
        <v>106.8</v>
      </c>
    </row>
    <row r="70" spans="1:11" x14ac:dyDescent="0.25">
      <c r="A70" t="s">
        <v>4</v>
      </c>
      <c r="B70">
        <v>100</v>
      </c>
      <c r="C70">
        <v>103.89060000000001</v>
      </c>
      <c r="D70">
        <v>214.77</v>
      </c>
      <c r="I70">
        <v>100</v>
      </c>
      <c r="J70">
        <v>212.94839999999999</v>
      </c>
      <c r="K70">
        <v>81.93</v>
      </c>
    </row>
    <row r="71" spans="1:11" x14ac:dyDescent="0.25">
      <c r="A71" t="s">
        <v>4</v>
      </c>
      <c r="B71">
        <v>100</v>
      </c>
      <c r="C71">
        <v>110.3772</v>
      </c>
      <c r="D71">
        <v>197.37</v>
      </c>
      <c r="I71">
        <v>100</v>
      </c>
      <c r="J71">
        <v>218.93819999999999</v>
      </c>
      <c r="K71">
        <v>57.06</v>
      </c>
    </row>
    <row r="72" spans="1:11" x14ac:dyDescent="0.25">
      <c r="A72" t="s">
        <v>4</v>
      </c>
      <c r="B72">
        <v>100</v>
      </c>
      <c r="C72">
        <v>115.4526</v>
      </c>
      <c r="D72">
        <v>178.96</v>
      </c>
      <c r="I72">
        <v>100</v>
      </c>
      <c r="J72">
        <v>225.32759999999999</v>
      </c>
      <c r="K72">
        <v>33.44</v>
      </c>
    </row>
    <row r="73" spans="1:11" x14ac:dyDescent="0.25">
      <c r="A73" t="s">
        <v>4</v>
      </c>
      <c r="B73">
        <v>100</v>
      </c>
      <c r="C73">
        <v>119.964</v>
      </c>
      <c r="D73">
        <v>160.54</v>
      </c>
      <c r="I73">
        <v>100</v>
      </c>
      <c r="J73">
        <v>231.71640000000002</v>
      </c>
      <c r="K73">
        <v>9.81</v>
      </c>
    </row>
    <row r="74" spans="1:11" x14ac:dyDescent="0.25">
      <c r="A74" t="s">
        <v>4</v>
      </c>
      <c r="B74">
        <v>100</v>
      </c>
      <c r="C74">
        <v>124.7574</v>
      </c>
      <c r="D74">
        <v>142.12</v>
      </c>
    </row>
    <row r="75" spans="1:11" x14ac:dyDescent="0.25">
      <c r="A75" t="s">
        <v>4</v>
      </c>
      <c r="B75">
        <v>100</v>
      </c>
      <c r="C75">
        <v>129.55080000000001</v>
      </c>
      <c r="D75">
        <v>122.68</v>
      </c>
    </row>
    <row r="76" spans="1:11" x14ac:dyDescent="0.25">
      <c r="A76" t="s">
        <v>4</v>
      </c>
      <c r="B76">
        <v>100</v>
      </c>
      <c r="C76">
        <v>135.4716</v>
      </c>
      <c r="D76">
        <v>96.08</v>
      </c>
    </row>
    <row r="77" spans="1:11" x14ac:dyDescent="0.25">
      <c r="A77" t="s">
        <v>4</v>
      </c>
      <c r="B77">
        <v>100</v>
      </c>
      <c r="C77">
        <v>139.98240000000001</v>
      </c>
      <c r="D77">
        <v>76.64</v>
      </c>
    </row>
    <row r="78" spans="1:11" x14ac:dyDescent="0.25">
      <c r="A78" t="s">
        <v>4</v>
      </c>
      <c r="B78">
        <v>100</v>
      </c>
      <c r="C78">
        <v>144.21119999999999</v>
      </c>
      <c r="D78">
        <v>56.17</v>
      </c>
    </row>
    <row r="79" spans="1:11" x14ac:dyDescent="0.25">
      <c r="A79" t="s">
        <v>4</v>
      </c>
      <c r="B79">
        <v>100</v>
      </c>
      <c r="C79">
        <v>148.72200000000001</v>
      </c>
      <c r="D79">
        <v>35.71</v>
      </c>
    </row>
    <row r="80" spans="1:11" x14ac:dyDescent="0.25">
      <c r="A80" t="s">
        <v>4</v>
      </c>
      <c r="B80">
        <v>100</v>
      </c>
      <c r="C80">
        <v>150.696</v>
      </c>
      <c r="D80">
        <v>26.5</v>
      </c>
    </row>
    <row r="81" spans="1:4" x14ac:dyDescent="0.25">
      <c r="A81" t="s">
        <v>4</v>
      </c>
      <c r="B81">
        <v>100</v>
      </c>
      <c r="C81">
        <v>154.9248</v>
      </c>
      <c r="D81">
        <v>6.04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Gonçalo Couto</dc:creator>
  <cp:lastModifiedBy>João Gonçalo Couto</cp:lastModifiedBy>
  <dcterms:created xsi:type="dcterms:W3CDTF">2020-07-06T11:31:26Z</dcterms:created>
  <dcterms:modified xsi:type="dcterms:W3CDTF">2020-07-09T17:26:05Z</dcterms:modified>
</cp:coreProperties>
</file>